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sheets/sheet20.xml" ContentType="application/vnd.openxmlformats-officedocument.spreadsheetml.worksheet+xml"/>
  <Override PartName="/xl/drawings/drawing12.xml" ContentType="application/vnd.openxmlformats-officedocument.drawing+xml"/>
  <Override PartName="/xl/worksheets/sheet21.xml" ContentType="application/vnd.openxmlformats-officedocument.spreadsheetml.worksheet+xml"/>
  <Override PartName="/xl/drawings/drawing13.xml" ContentType="application/vnd.openxmlformats-officedocument.drawing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_Profile" sheetId="1" state="visible" r:id="rId1"/>
    <sheet xmlns:r="http://schemas.openxmlformats.org/officeDocument/2006/relationships" name="Flash_Profile" sheetId="2" state="visible" r:id="rId2"/>
    <sheet xmlns:r="http://schemas.openxmlformats.org/officeDocument/2006/relationships" name="Composition Splits" sheetId="3" state="visible" r:id="rId3"/>
    <sheet xmlns:r="http://schemas.openxmlformats.org/officeDocument/2006/relationships" name="Component_Detail" sheetId="4" state="visible" r:id="rId4"/>
    <sheet xmlns:r="http://schemas.openxmlformats.org/officeDocument/2006/relationships" name="Stream_Props" sheetId="5" state="visible" r:id="rId5"/>
    <sheet xmlns:r="http://schemas.openxmlformats.org/officeDocument/2006/relationships" name="FIV_EI_T2.2" sheetId="6" state="visible" r:id="rId6"/>
    <sheet xmlns:r="http://schemas.openxmlformats.org/officeDocument/2006/relationships" name="AIV" sheetId="7" state="visible" r:id="rId7"/>
    <sheet xmlns:r="http://schemas.openxmlformats.org/officeDocument/2006/relationships" name="Two_Phase_Regime" sheetId="8" state="visible" r:id="rId8"/>
    <sheet xmlns:r="http://schemas.openxmlformats.org/officeDocument/2006/relationships" name="Flow_Pattern_Data" sheetId="9" state="visible" r:id="rId9"/>
    <sheet xmlns:r="http://schemas.openxmlformats.org/officeDocument/2006/relationships" name="H Taitel-Dukler" sheetId="10" state="visible" r:id="rId10"/>
    <sheet xmlns:r="http://schemas.openxmlformats.org/officeDocument/2006/relationships" name="H Gregory-Fogarasi" sheetId="11" state="visible" r:id="rId11"/>
    <sheet xmlns:r="http://schemas.openxmlformats.org/officeDocument/2006/relationships" name="H Shell DEP" sheetId="12" state="visible" r:id="rId12"/>
    <sheet xmlns:r="http://schemas.openxmlformats.org/officeDocument/2006/relationships" name="H Shell DEP2" sheetId="13" state="visible" r:id="rId13"/>
    <sheet xmlns:r="http://schemas.openxmlformats.org/officeDocument/2006/relationships" name="H HTRI" sheetId="14" state="visible" r:id="rId14"/>
    <sheet xmlns:r="http://schemas.openxmlformats.org/officeDocument/2006/relationships" name="H Baker (HEDH)" sheetId="15" state="visible" r:id="rId15"/>
    <sheet xmlns:r="http://schemas.openxmlformats.org/officeDocument/2006/relationships" name="V Gregory-Fogarasi" sheetId="16" state="visible" r:id="rId16"/>
    <sheet xmlns:r="http://schemas.openxmlformats.org/officeDocument/2006/relationships" name="V Shell DEP2" sheetId="17" state="visible" r:id="rId17"/>
    <sheet xmlns:r="http://schemas.openxmlformats.org/officeDocument/2006/relationships" name="V Shell DEP" sheetId="18" state="visible" r:id="rId18"/>
    <sheet xmlns:r="http://schemas.openxmlformats.org/officeDocument/2006/relationships" name="V HTRI" sheetId="19" state="visible" r:id="rId19"/>
    <sheet xmlns:r="http://schemas.openxmlformats.org/officeDocument/2006/relationships" name="V HEDH up" sheetId="20" state="visible" r:id="rId20"/>
    <sheet xmlns:r="http://schemas.openxmlformats.org/officeDocument/2006/relationships" name="V Oshinowo up" sheetId="21" state="visible" r:id="rId21"/>
    <sheet xmlns:r="http://schemas.openxmlformats.org/officeDocument/2006/relationships" name="V HEDH down" sheetId="22" state="visible" r:id="rId22"/>
    <sheet xmlns:r="http://schemas.openxmlformats.org/officeDocument/2006/relationships" name="V Oshinowo down" sheetId="23" state="visible" r:id="rId23"/>
    <sheet xmlns:r="http://schemas.openxmlformats.org/officeDocument/2006/relationships" name="Input_Pipeline" sheetId="24" state="visible" r:id="rId24"/>
    <sheet xmlns:r="http://schemas.openxmlformats.org/officeDocument/2006/relationships" name="README" sheetId="25" state="visible" r:id="rId25"/>
  </sheets>
  <definedNames>
    <definedName name="_xlnm._FilterDatabase" localSheetId="0" hidden="1">'Pressure_Profile'!$A$2:$AD$2</definedName>
    <definedName name="_xlnm._FilterDatabase" localSheetId="23" hidden="1">'Input_Pipeline'!$A$4:$X$4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404040"/>
      <sz val="9"/>
    </font>
    <font>
      <name val="Calibri"/>
      <b val="1"/>
      <color rgb="00404040"/>
      <sz val="9"/>
    </font>
    <font>
      <name val="Calibri"/>
      <b val="1"/>
      <color rgb="00FFFFFF"/>
      <sz val="11"/>
    </font>
    <font>
      <name val="Calibri"/>
      <color rgb="00C55A11"/>
      <sz val="9"/>
    </font>
    <font>
      <name val="Calibri"/>
      <b val="1"/>
      <color rgb="001F4973"/>
      <sz val="9"/>
    </font>
    <font>
      <name val="Calibri"/>
      <b val="1"/>
      <color rgb="001F4973"/>
      <sz val="11"/>
    </font>
    <font>
      <name val="Calibri"/>
      <color rgb="00404040"/>
      <sz val="8"/>
    </font>
    <font>
      <name val="Calibri"/>
      <color rgb="00FFFFFF"/>
      <sz val="8"/>
    </font>
    <font>
      <name val="Calibri"/>
      <color rgb="00FFFFFF"/>
      <sz val="9"/>
    </font>
    <font>
      <name val="Calibri"/>
      <b val="1"/>
      <color rgb="001F4973"/>
      <sz val="14"/>
    </font>
  </fonts>
  <fills count="10">
    <fill>
      <patternFill/>
    </fill>
    <fill>
      <patternFill patternType="gray125"/>
    </fill>
    <fill>
      <patternFill patternType="solid">
        <fgColor rgb="001F4973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12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Flash Pressure Profile — Circuit C2 [Main]</a:t>
            </a:r>
          </a:p>
        </rich>
      </tx>
    </title>
    <plotArea>
      <lineChart>
        <grouping val="standard"/>
        <ser>
          <idx val="0"/>
          <order val="0"/>
          <tx>
            <strRef>
              <f>'Pressure_Profile'!T2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'Pressure_Profile'!$H$3:$H$4</f>
            </numRef>
          </cat>
          <val>
            <numRef>
              <f>'Pressure_Profile'!$T$3:$T$4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Length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(kPa)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TAITEL &amp; DUKLER — HORIZONTAL (X vs Fr)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Taitel-Dukler'!$AD$2:$AD$5</f>
            </numRef>
          </xVal>
          <yVal>
            <numRef>
              <f>'H Taitel-Dukler'!$AE$2:$AE$5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Taitel-Dukler'!$AG$2:$AG$3</f>
            </numRef>
          </xVal>
          <yVal>
            <numRef>
              <f>'H Taitel-Dukler'!$AH$2:$AH$3</f>
            </numRef>
          </yVal>
        </ser>
        <ser>
          <idx val="2"/>
          <order val="2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Taitel-Dukler'!$AJ$2</f>
            </numRef>
          </xVal>
          <yVal>
            <numRef>
              <f>'H Taitel-Dukler'!$AK$2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(Lockhart-Martinelli)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0"/>
          <min val="0.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TAITEL &amp; DUKLER — HORIZONTAL (X vs K)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Taitel-Dukler'!$AM$2:$AM$5</f>
            </numRef>
          </xVal>
          <yVal>
            <numRef>
              <f>'H Taitel-Dukler'!$AN$2:$AN$5</f>
            </numRef>
          </yVal>
        </ser>
        <ser>
          <idx val="1"/>
          <order val="1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Taitel-Dukler'!$AP$2</f>
            </numRef>
          </xVal>
          <yVal>
            <numRef>
              <f>'H Taitel-Dukler'!$AQ$2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TAITEL &amp; DUKLER — HORIZONTAL (X vs T)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Taitel-Dukler'!$AS$2:$AS$4</f>
            </numRef>
          </xVal>
          <yVal>
            <numRef>
              <f>'H Taitel-Dukler'!$AT$2:$AT$4</f>
            </numRef>
          </yVal>
        </ser>
        <ser>
          <idx val="1"/>
          <order val="1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Taitel-Dukler'!$AV$2</f>
            </numRef>
          </xVal>
          <yVal>
            <numRef>
              <f>'H Taitel-Dukler'!$AW$2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GREGORY &amp; FOGARASI — HORIZONTAL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Gregory-Fogarasi'!$AD$2:$AD$3</f>
            </numRef>
          </xVal>
          <yVal>
            <numRef>
              <f>'H Gregory-Fogarasi'!$AE$2:$AE$3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Gregory-Fogarasi'!$AG$2:$AG$3</f>
            </numRef>
          </xVal>
          <yVal>
            <numRef>
              <f>'H Gregory-Fogarasi'!$AH$2:$AH$3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Gregory-Fogarasi'!$AJ$2:$AJ$3</f>
            </numRef>
          </xVal>
          <yVal>
            <numRef>
              <f>'H Gregory-Fogarasi'!$AK$2:$AK$3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Gregory-Fogarasi'!$AM$2:$AM$3</f>
            </numRef>
          </xVal>
          <yVal>
            <numRef>
              <f>'H Gregory-Fogarasi'!$AN$2:$AN$3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Gregory-Fogarasi'!$AP$2:$AP$3</f>
            </numRef>
          </xVal>
          <yVal>
            <numRef>
              <f>'H Gregory-Fogarasi'!$AQ$2:$AQ$3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Gregory-Fogarasi'!$AS$2:$AS$3</f>
            </numRef>
          </xVal>
          <yVal>
            <numRef>
              <f>'H Gregory-Fogarasi'!$AT$2:$AT$3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Gregory-Fogarasi'!$AV$2:$AV$3</f>
            </numRef>
          </xVal>
          <yVal>
            <numRef>
              <f>'H Gregory-Fogarasi'!$AW$2:$AW$3</f>
            </numRef>
          </yVal>
        </ser>
        <ser>
          <idx val="7"/>
          <order val="7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Gregory-Fogarasi'!$AY$2:$AY$3</f>
            </numRef>
          </xVal>
          <yVal>
            <numRef>
              <f>'H Gregory-Fogarasi'!$AZ$2:$AZ$3</f>
            </numRef>
          </yVal>
        </ser>
        <ser>
          <idx val="8"/>
          <order val="8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Gregory-Fogarasi'!$BB$2:$BB$3</f>
            </numRef>
          </xVal>
          <yVal>
            <numRef>
              <f>'H Gregory-Fogarasi'!$BC$2:$BC$3</f>
            </numRef>
          </yVal>
        </ser>
        <ser>
          <idx val="9"/>
          <order val="9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Gregory-Fogarasi'!$BE$2</f>
            </numRef>
          </xVal>
          <yVal>
            <numRef>
              <f>'H Gregory-Fogarasi'!$BF$2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apparent velocity (m/s)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0.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apparent velocity (m/s)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SHELL DEP — HORIZONTAL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DEP'!$AD$2:$AD$3</f>
            </numRef>
          </xVal>
          <yVal>
            <numRef>
              <f>'H Shell DEP'!$AE$2:$AE$3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DEP'!$AG$2:$AG$4</f>
            </numRef>
          </xVal>
          <yVal>
            <numRef>
              <f>'H Shell DEP'!$AH$2:$AH$4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DEP'!$AJ$2:$AJ$4</f>
            </numRef>
          </xVal>
          <yVal>
            <numRef>
              <f>'H Shell DEP'!$AK$2:$AK$4</f>
            </numRef>
          </yVal>
        </ser>
        <ser>
          <idx val="3"/>
          <order val="3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Shell DEP'!$AM$2</f>
            </numRef>
          </xVal>
          <yVal>
            <numRef>
              <f>'H Shell DEP'!$AN$2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0"/>
          <min val="0.0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load Fi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SHELL DEP2 — HORIZONTAL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DEP2'!$AD$2:$AD$4</f>
            </numRef>
          </xVal>
          <yVal>
            <numRef>
              <f>'H Shell DEP2'!$AE$2:$AE$4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DEP2'!$AG$2:$AG$3</f>
            </numRef>
          </xVal>
          <yVal>
            <numRef>
              <f>'H Shell DEP2'!$AH$2:$AH$3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DEP2'!$AJ$2:$AJ$3</f>
            </numRef>
          </xVal>
          <yVal>
            <numRef>
              <f>'H Shell DEP2'!$AK$2:$AK$3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DEP2'!$AM$2:$AM$3</f>
            </numRef>
          </xVal>
          <yVal>
            <numRef>
              <f>'H Shell DEP2'!$AN$2:$AN$3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DEP2'!$AP$2:$AP$3</f>
            </numRef>
          </xVal>
          <yVal>
            <numRef>
              <f>'H Shell DEP2'!$AQ$2:$AQ$3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DEP2'!$AS$2:$AS$3</f>
            </numRef>
          </xVal>
          <yVal>
            <numRef>
              <f>'H Shell DEP2'!$AT$2:$AT$3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DEP2'!$AV$2:$AV$3</f>
            </numRef>
          </xVal>
          <yVal>
            <numRef>
              <f>'H Shell DEP2'!$AW$2:$AW$3</f>
            </numRef>
          </yVal>
        </ser>
        <ser>
          <idx val="7"/>
          <order val="7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DEP2'!$AY$2:$AY$3</f>
            </numRef>
          </xVal>
          <yVal>
            <numRef>
              <f>'H Shell DEP2'!$AZ$2:$AZ$3</f>
            </numRef>
          </yVal>
        </ser>
        <ser>
          <idx val="8"/>
          <order val="8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DEP2'!$BB$2:$BB$3</f>
            </numRef>
          </xVal>
          <yVal>
            <numRef>
              <f>'H Shell DEP2'!$BC$2:$BC$3</f>
            </numRef>
          </yVal>
        </ser>
        <ser>
          <idx val="9"/>
          <order val="9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Shell DEP2'!$BE$2</f>
            </numRef>
          </xVal>
          <yVal>
            <numRef>
              <f>'H Shell DEP2'!$BF$2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1e-0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Froude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HTRI — HORIZONTAL TUBE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HTRI'!$AD$2:$AD$3</f>
            </numRef>
          </xVal>
          <yVal>
            <numRef>
              <f>'H HTRI'!$AE$2:$AE$3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HTRI'!$AG$2:$AG$3</f>
            </numRef>
          </xVal>
          <yVal>
            <numRef>
              <f>'H HTRI'!$AH$2:$AH$3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HTRI'!$AJ$2:$AJ$3</f>
            </numRef>
          </xVal>
          <yVal>
            <numRef>
              <f>'H HTRI'!$AK$2:$AK$3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HTRI'!$AM$2:$AM$3</f>
            </numRef>
          </xVal>
          <yVal>
            <numRef>
              <f>'H HTRI'!$AN$2:$AN$3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HTRI'!$AP$2:$AP$3</f>
            </numRef>
          </xVal>
          <yVal>
            <numRef>
              <f>'H HTRI'!$AQ$2:$AQ$3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HTRI'!$AS$2:$AS$3</f>
            </numRef>
          </xVal>
          <yVal>
            <numRef>
              <f>'H HTRI'!$AT$2:$AT$3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HTRI'!$AV$2:$AV$3</f>
            </numRef>
          </xVal>
          <yVal>
            <numRef>
              <f>'H HTRI'!$AW$2:$AW$3</f>
            </numRef>
          </yVal>
        </ser>
        <ser>
          <idx val="7"/>
          <order val="7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HTRI'!$AY$2:$AY$3</f>
            </numRef>
          </xVal>
          <yVal>
            <numRef>
              <f>'H HTRI'!$AZ$2:$AZ$3</f>
            </numRef>
          </yVal>
        </ser>
        <ser>
          <idx val="8"/>
          <order val="8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HTRI'!$BB$2:$BB$3</f>
            </numRef>
          </xVal>
          <yVal>
            <numRef>
              <f>'H HTRI'!$BC$2:$BC$3</f>
            </numRef>
          </yVal>
        </ser>
        <ser>
          <idx val="9"/>
          <order val="9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HTRI'!$BE$2:$BE$3</f>
            </numRef>
          </xVal>
          <yVal>
            <numRef>
              <f>'H HTRI'!$BF$2:$BF$3</f>
            </numRef>
          </yVal>
        </ser>
        <ser>
          <idx val="10"/>
          <order val="10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HTRI'!$BH$2:$BH$3</f>
            </numRef>
          </xVal>
          <yVal>
            <numRef>
              <f>'H HTRI'!$BI$2:$BI$3</f>
            </numRef>
          </yVal>
        </ser>
        <ser>
          <idx val="11"/>
          <order val="1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HTRI'!$BK$2:$BK$3</f>
            </numRef>
          </xVal>
          <yVal>
            <numRef>
              <f>'H HTRI'!$BL$2:$BL$3</f>
            </numRef>
          </yVal>
        </ser>
        <ser>
          <idx val="12"/>
          <order val="12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HTRI'!$BN$2</f>
            </numRef>
          </xVal>
          <yVal>
            <numRef>
              <f>'H HTRI'!$BO$2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Homogeneous Liquid Volume Fraction, 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Flow regime parameter, C gt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BAKER MAP — HORIZONTAL TWO-PHASE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(HEDH)'!$AD$2:$AD$4</f>
            </numRef>
          </xVal>
          <yVal>
            <numRef>
              <f>'H Baker (HEDH)'!$AE$2:$AE$4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(HEDH)'!$AG$2:$AG$3</f>
            </numRef>
          </xVal>
          <yVal>
            <numRef>
              <f>'H Baker (HEDH)'!$AH$2:$AH$3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(HEDH)'!$AJ$2:$AJ$3</f>
            </numRef>
          </xVal>
          <yVal>
            <numRef>
              <f>'H Baker (HEDH)'!$AK$2:$AK$3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(HEDH)'!$AM$2:$AM$3</f>
            </numRef>
          </xVal>
          <yVal>
            <numRef>
              <f>'H Baker (HEDH)'!$AN$2:$AN$3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(HEDH)'!$AP$2:$AP$4</f>
            </numRef>
          </xVal>
          <yVal>
            <numRef>
              <f>'H Baker (HEDH)'!$AQ$2:$AQ$4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(HEDH)'!$AS$2:$AS$3</f>
            </numRef>
          </xVal>
          <yVal>
            <numRef>
              <f>'H Baker (HEDH)'!$AT$2:$AT$3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(HEDH)'!$AV$2:$AV$4</f>
            </numRef>
          </xVal>
          <yVal>
            <numRef>
              <f>'H Baker (HEDH)'!$AW$2:$AW$4</f>
            </numRef>
          </yVal>
        </ser>
        <ser>
          <idx val="7"/>
          <order val="7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'H Baker (HEDH)'!$AY$2</f>
            </numRef>
          </xVal>
          <yVal>
            <numRef>
              <f>'H Baker (HEDH)'!$AZ$2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00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Ql·Fib  (kg m⁻² s⁻¹)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Qg/λb  (kg m⁻² s⁻¹)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GREGORY &amp; FOGARASI — VERTICAL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Gregory-Fogarasi'!$AD$2:$AD$3</f>
            </numRef>
          </xVal>
          <yVal>
            <numRef>
              <f>'V Gregory-Fogarasi'!$AE$2:$AE$3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Gregory-Fogarasi'!$AG$2:$AG$3</f>
            </numRef>
          </xVal>
          <yVal>
            <numRef>
              <f>'V Gregory-Fogarasi'!$AH$2:$AH$3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Gregory-Fogarasi'!$AJ$2:$AJ$3</f>
            </numRef>
          </xVal>
          <yVal>
            <numRef>
              <f>'V Gregory-Fogarasi'!$AK$2:$AK$3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Gregory-Fogarasi'!$AM$2:$AM$3</f>
            </numRef>
          </xVal>
          <yVal>
            <numRef>
              <f>'V Gregory-Fogarasi'!$AN$2:$AN$3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Gregory-Fogarasi'!$AP$2:$AP$3</f>
            </numRef>
          </xVal>
          <yVal>
            <numRef>
              <f>'V Gregory-Fogarasi'!$AQ$2:$AQ$3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Gregory-Fogarasi'!$AS$2:$AS$3</f>
            </numRef>
          </xVal>
          <yVal>
            <numRef>
              <f>'V Gregory-Fogarasi'!$AT$2:$AT$3</f>
            </numRef>
          </yVal>
        </ser>
        <ser>
          <idx val="6"/>
          <order val="6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Gregory-Fogarasi'!$AV$2</f>
            </numRef>
          </xVal>
          <yVal>
            <numRef>
              <f>'V Gregory-Fogarasi'!$AW$2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apparent velocity (m/s)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apparent velocity (m/s)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SHELL DEP2 — VERTICAL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DEP2'!$AD$2:$AD$3</f>
            </numRef>
          </xVal>
          <yVal>
            <numRef>
              <f>'V Shell DEP2'!$AE$2:$AE$3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DEP2'!$AG$2:$AG$3</f>
            </numRef>
          </xVal>
          <yVal>
            <numRef>
              <f>'V Shell DEP2'!$AH$2:$AH$3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DEP2'!$AJ$2:$AJ$3</f>
            </numRef>
          </xVal>
          <yVal>
            <numRef>
              <f>'V Shell DEP2'!$AK$2:$AK$3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DEP2'!$AM$2:$AM$3</f>
            </numRef>
          </xVal>
          <yVal>
            <numRef>
              <f>'V Shell DEP2'!$AN$2:$AN$3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DEP2'!$AP$2:$AP$3</f>
            </numRef>
          </xVal>
          <yVal>
            <numRef>
              <f>'V Shell DEP2'!$AQ$2:$AQ$3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DEP2'!$AS$2:$AS$3</f>
            </numRef>
          </xVal>
          <yVal>
            <numRef>
              <f>'V Shell DEP2'!$AT$2:$AT$3</f>
            </numRef>
          </yVal>
        </ser>
        <ser>
          <idx val="6"/>
          <order val="6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Shell DEP2'!$AV$2</f>
            </numRef>
          </xVal>
          <yVal>
            <numRef>
              <f>'V Shell DEP2'!$AW$2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1e-0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Froude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SHELL DEP — VERTICAL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DEP'!$AD$2:$AD$4</f>
            </numRef>
          </xVal>
          <yVal>
            <numRef>
              <f>'V Shell DEP'!$AE$2:$AE$4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DEP'!$AG$2:$AG$4</f>
            </numRef>
          </xVal>
          <yVal>
            <numRef>
              <f>'V Shell DEP'!$AH$2:$AH$4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DEP'!$AJ$2:$AJ$4</f>
            </numRef>
          </xVal>
          <yVal>
            <numRef>
              <f>'V Shell DEP'!$AK$2:$AK$4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DEP'!$AM$2:$AM$4</f>
            </numRef>
          </xVal>
          <yVal>
            <numRef>
              <f>'V Shell DEP'!$AN$2:$AN$4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DEP'!$AP$2:$AP$4</f>
            </numRef>
          </xVal>
          <yVal>
            <numRef>
              <f>'V Shell DEP'!$AQ$2:$AQ$4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DEP'!$AS$2:$AS$4</f>
            </numRef>
          </xVal>
          <yVal>
            <numRef>
              <f>'V Shell DEP'!$AT$2:$AT$4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DEP'!$AV$2:$AV$4</f>
            </numRef>
          </xVal>
          <yVal>
            <numRef>
              <f>'V Shell DEP'!$AW$2:$AW$4</f>
            </numRef>
          </yVal>
        </ser>
        <ser>
          <idx val="7"/>
          <order val="7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Shell DEP'!$AY$2</f>
            </numRef>
          </xVal>
          <yVal>
            <numRef>
              <f>'V Shell DEP'!$AZ$2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"/>
          <min val="0.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Froude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load Fi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HTRI — VERTICAL INTUBE BOILING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HTRI'!$AD$2:$AD$3</f>
            </numRef>
          </xVal>
          <yVal>
            <numRef>
              <f>'V HTRI'!$AE$2:$AE$3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HTRI'!$AG$2:$AG$3</f>
            </numRef>
          </xVal>
          <yVal>
            <numRef>
              <f>'V HTRI'!$AH$2:$AH$3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HTRI'!$AJ$2:$AJ$3</f>
            </numRef>
          </xVal>
          <yVal>
            <numRef>
              <f>'V HTRI'!$AK$2:$AK$3</f>
            </numRef>
          </yVal>
        </ser>
        <ser>
          <idx val="3"/>
          <order val="3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HTRI'!$AM$2</f>
            </numRef>
          </xVal>
          <yVal>
            <numRef>
              <f>'V HTRI'!$AN$2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"/>
          <min val="0.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"/>
          <min val="1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Gt, Total mass velocity (kg/s 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HEDH — VERTICAL UPWARD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up'!$AD$2:$AD$4</f>
            </numRef>
          </xVal>
          <yVal>
            <numRef>
              <f>'V HEDH up'!$AE$2:$AE$4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up'!$AG$2:$AG$3</f>
            </numRef>
          </xVal>
          <yVal>
            <numRef>
              <f>'V HEDH up'!$AH$2:$AH$3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up'!$AJ$2:$AJ$4</f>
            </numRef>
          </xVal>
          <yVal>
            <numRef>
              <f>'V HEDH up'!$AK$2:$AK$4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up'!$AM$2:$AM$4</f>
            </numRef>
          </xVal>
          <yVal>
            <numRef>
              <f>'V HEDH up'!$AN$2:$AN$4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up'!$AP$2:$AP$3</f>
            </numRef>
          </xVal>
          <yVal>
            <numRef>
              <f>'V HEDH up'!$AQ$2:$AQ$3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up'!$AS$2:$AS$4</f>
            </numRef>
          </xVal>
          <yVal>
            <numRef>
              <f>'V HEDH up'!$AT$2:$AT$4</f>
            </numRef>
          </yVal>
        </ser>
        <ser>
          <idx val="6"/>
          <order val="6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HEDH up'!$AV$2</f>
            </numRef>
          </xVal>
          <yVal>
            <numRef>
              <f>'V HEDH up'!$AW$2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00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ρl·vl²  (kg m⁻¹ s⁻²)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00"/>
          <min val="0.0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ρg·vg²  (kg m⁻¹ s⁻²)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OSHINOWO-CHARLES — VERTICAL UPWARD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up'!$AD$2:$AD$3</f>
            </numRef>
          </xVal>
          <yVal>
            <numRef>
              <f>'V Oshinowo up'!$AE$2:$AE$3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up'!$AG$2:$AG$4</f>
            </numRef>
          </xVal>
          <yVal>
            <numRef>
              <f>'V Oshinowo up'!$AH$2:$AH$4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up'!$AJ$2:$AJ$4</f>
            </numRef>
          </xVal>
          <yVal>
            <numRef>
              <f>'V Oshinowo up'!$AK$2:$AK$4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up'!$AM$2:$AM$4</f>
            </numRef>
          </xVal>
          <yVal>
            <numRef>
              <f>'V Oshinowo up'!$AN$2:$AN$4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up'!$AP$2:$AP$4</f>
            </numRef>
          </xVal>
          <yVal>
            <numRef>
              <f>'V Oshinowo up'!$AQ$2:$AQ$4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up'!$AS$2:$AS$3</f>
            </numRef>
          </xVal>
          <yVal>
            <numRef>
              <f>'V Oshinowo up'!$AT$2:$AT$3</f>
            </numRef>
          </yVal>
        </ser>
        <ser>
          <idx val="6"/>
          <order val="6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Oshinowo up'!$AV$2</f>
            </numRef>
          </xVal>
          <yVal>
            <numRef>
              <f>'V Oshinowo up'!$AW$2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0"/>
          <min val="0.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Frtp/√L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(Qg/Ql)^0.5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HEDH — VERTICAL DOWNWARD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down'!$AD$2:$AD$3</f>
            </numRef>
          </xVal>
          <yVal>
            <numRef>
              <f>'V HEDH down'!$AE$2:$AE$3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HEDH down'!$AG$2:$AG$3</f>
            </numRef>
          </xVal>
          <yVal>
            <numRef>
              <f>'V HEDH down'!$AH$2:$AH$3</f>
            </numRef>
          </yVal>
        </ser>
        <ser>
          <idx val="2"/>
          <order val="2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HEDH down'!$AJ$2</f>
            </numRef>
          </xVal>
          <yVal>
            <numRef>
              <f>'V HEDH down'!$AK$2</f>
            </numRef>
          </yVal>
        </ser>
        <axId val="10"/>
        <axId val="20"/>
      </scatterChart>
      <valAx>
        <axId val="10"/>
        <scaling>
          <orientation val="minMax"/>
          <max val="2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Liquid apparent velocity (m/s)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apparent velocity (m/s)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OSHINOWO-CHARLES — VERTICAL DOWNWARD</a:t>
            </a:r>
          </a:p>
        </rich>
      </tx>
    </title>
    <plotArea>
      <scatterChart>
        <ser>
          <idx val="0"/>
          <order val="0"/>
          <tx>
            <v>regime boundary</v>
          </tx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down'!$AD$2:$AD$4</f>
            </numRef>
          </xVal>
          <yVal>
            <numRef>
              <f>'V Oshinowo down'!$AE$2:$AE$4</f>
            </numRef>
          </yVal>
        </ser>
        <ser>
          <idx val="1"/>
          <order val="1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down'!$AG$2:$AG$4</f>
            </numRef>
          </xVal>
          <yVal>
            <numRef>
              <f>'V Oshinowo down'!$AH$2:$AH$4</f>
            </numRef>
          </yVal>
        </ser>
        <ser>
          <idx val="2"/>
          <order val="2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down'!$AJ$2:$AJ$4</f>
            </numRef>
          </xVal>
          <yVal>
            <numRef>
              <f>'V Oshinowo down'!$AK$2:$AK$4</f>
            </numRef>
          </yVal>
        </ser>
        <ser>
          <idx val="3"/>
          <order val="3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down'!$AM$2:$AM$3</f>
            </numRef>
          </xVal>
          <yVal>
            <numRef>
              <f>'V Oshinowo down'!$AN$2:$AN$3</f>
            </numRef>
          </yVal>
        </ser>
        <ser>
          <idx val="4"/>
          <order val="4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down'!$AP$2:$AP$4</f>
            </numRef>
          </xVal>
          <yVal>
            <numRef>
              <f>'V Oshinowo down'!$AQ$2:$AQ$4</f>
            </numRef>
          </yVal>
        </ser>
        <ser>
          <idx val="5"/>
          <order val="5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down'!$AS$2:$AS$3</f>
            </numRef>
          </xVal>
          <yVal>
            <numRef>
              <f>'V Oshinowo down'!$AT$2:$AT$3</f>
            </numRef>
          </yVal>
        </ser>
        <ser>
          <idx val="6"/>
          <order val="6"/>
          <spPr>
            <a:ln xmlns:a="http://schemas.openxmlformats.org/drawingml/2006/main" w="14000">
              <a:solidFill>
                <a:srgbClr val="808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down'!$AV$2:$AV$4</f>
            </numRef>
          </xVal>
          <yVal>
            <numRef>
              <f>'V Oshinowo down'!$AW$2:$AW$4</f>
            </numRef>
          </yVal>
        </ser>
        <ser>
          <idx val="7"/>
          <order val="7"/>
          <tx>
            <v>operating path</v>
          </tx>
          <spPr>
            <a:ln xmlns:a="http://schemas.openxmlformats.org/drawingml/2006/main" w="1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'V Oshinowo down'!$AY$2</f>
            </numRef>
          </xVal>
          <yVal>
            <numRef>
              <f>'V Oshinowo down'!$AZ$2</f>
            </numRef>
          </yVal>
        </ser>
        <axId val="10"/>
        <axId val="20"/>
      </scatterChart>
      <valAx>
        <axId val="10"/>
        <scaling>
          <logBase val="10"/>
          <orientation val="minMax"/>
          <max val="10000"/>
          <min val="0.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Frtp/√L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  <max val="10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(Qg/Ql)^0.5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64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AD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6" customWidth="1" min="4" max="4"/>
    <col width="7" customWidth="1" min="5" max="5"/>
    <col width="9" customWidth="1" min="6" max="6"/>
    <col width="11" customWidth="1" min="7" max="7"/>
    <col width="14" customWidth="1" min="8" max="8"/>
    <col width="10" customWidth="1" min="9" max="9"/>
    <col width="16" customWidth="1" min="10" max="10"/>
    <col width="13" customWidth="1" min="11" max="11"/>
    <col width="12" customWidth="1" min="12" max="12"/>
    <col width="10" customWidth="1" min="13" max="13"/>
    <col width="16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18" customWidth="1" min="24" max="24"/>
    <col width="10" customWidth="1" min="25" max="25"/>
    <col width="10" customWidth="1" min="26" max="26"/>
    <col width="16" customWidth="1" min="27" max="27"/>
    <col width="16" customWidth="1" min="28" max="28"/>
    <col width="14" customWidth="1" min="29" max="29"/>
    <col width="36" customWidth="1" min="30" max="30"/>
  </cols>
  <sheetData>
    <row r="1" ht="22" customHeight="1">
      <c r="A1" s="1" t="inlineStr">
        <is>
          <t>FLASH-COUPLED PRESSURE PROFILE  [Main]   |   Circuit C2  ·  Lines: H-285   |   Stream: (manual)   |   isothermal   |   units: SI   |   11-Jun-2026 17:58</t>
        </is>
      </c>
    </row>
    <row r="2" ht="32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NPS</t>
        </is>
      </c>
      <c r="E2" s="2" t="inlineStr">
        <is>
          <t>Sched</t>
        </is>
      </c>
      <c r="F2" s="2" t="inlineStr">
        <is>
          <t>ID (mm)</t>
        </is>
      </c>
      <c r="G2" s="2" t="inlineStr">
        <is>
          <t>Length (m)</t>
        </is>
      </c>
      <c r="H2" s="2" t="inlineStr">
        <is>
          <t>Cum Length (m)</t>
        </is>
      </c>
      <c r="I2" s="2" t="inlineStr">
        <is>
          <t>Elev Δ (m)</t>
        </is>
      </c>
      <c r="J2" s="2" t="inlineStr">
        <is>
          <t>Phase (flash)</t>
        </is>
      </c>
      <c r="K2" s="2" t="inlineStr">
        <is>
          <t>Velocity (m/s)</t>
        </is>
      </c>
      <c r="L2" s="2" t="inlineStr">
        <is>
          <t>Reynolds</t>
        </is>
      </c>
      <c r="M2" s="2" t="inlineStr">
        <is>
          <t>Friction f</t>
        </is>
      </c>
      <c r="N2" s="2" t="inlineStr">
        <is>
          <t>Mix Density (kg/m3)</t>
        </is>
      </c>
      <c r="O2" s="2" t="inlineStr">
        <is>
          <t>dP Fric (kPa)</t>
        </is>
      </c>
      <c r="P2" s="2" t="inlineStr">
        <is>
          <t>dP Fitting (kPa)</t>
        </is>
      </c>
      <c r="Q2" s="2" t="inlineStr">
        <is>
          <t>dP Elev (kPa)</t>
        </is>
      </c>
      <c r="R2" s="2" t="inlineStr">
        <is>
          <t>dP Total (kPa)</t>
        </is>
      </c>
      <c r="S2" s="2" t="inlineStr">
        <is>
          <t>P In (kPa)</t>
        </is>
      </c>
      <c r="T2" s="2" t="inlineStr">
        <is>
          <t>P Out (kPa)</t>
        </is>
      </c>
      <c r="U2" s="3" t="inlineStr">
        <is>
          <t>β (molar vap)</t>
        </is>
      </c>
      <c r="V2" s="3" t="inlineStr">
        <is>
          <t>Quality (mass)</t>
        </is>
      </c>
      <c r="W2" s="3" t="inlineStr">
        <is>
          <t>Vap Mass Flow (kg/hr)</t>
        </is>
      </c>
      <c r="X2" s="3" t="inlineStr">
        <is>
          <t>Liq Mass Flow (kg/hr)</t>
        </is>
      </c>
      <c r="Y2" s="3" t="inlineStr">
        <is>
          <t>MW Vapor</t>
        </is>
      </c>
      <c r="Z2" s="3" t="inlineStr">
        <is>
          <t>MW Liquid</t>
        </is>
      </c>
      <c r="AA2" s="3" t="inlineStr">
        <is>
          <t>Vap Density (kg/m3)</t>
        </is>
      </c>
      <c r="AB2" s="3" t="inlineStr">
        <is>
          <t>Liq Density (kg/m3)</t>
        </is>
      </c>
      <c r="AC2" s="3" t="inlineStr">
        <is>
          <t>GVF (local, vol)</t>
        </is>
      </c>
      <c r="AD2" s="3" t="inlineStr">
        <is>
          <t>Note</t>
        </is>
      </c>
    </row>
    <row r="3">
      <c r="A3" s="4" t="n">
        <v>1</v>
      </c>
      <c r="B3" s="5" t="inlineStr">
        <is>
          <t>P-003</t>
        </is>
      </c>
      <c r="C3" s="5" t="inlineStr">
        <is>
          <t>Straight Pipeline</t>
        </is>
      </c>
      <c r="D3" s="5" t="inlineStr">
        <is>
          <t>6</t>
        </is>
      </c>
      <c r="E3" s="5" t="inlineStr">
        <is>
          <t>STD</t>
        </is>
      </c>
      <c r="F3" s="4" t="n">
        <v>154.051</v>
      </c>
      <c r="G3" s="4" t="n">
        <v>6.096</v>
      </c>
      <c r="H3" s="4" t="n">
        <v>6.096</v>
      </c>
      <c r="I3" s="4" t="n">
        <v>0</v>
      </c>
      <c r="J3" s="5" t="inlineStr">
        <is>
          <t>VAPOR</t>
        </is>
      </c>
      <c r="K3" s="4" t="n">
        <v>19.0829</v>
      </c>
      <c r="L3" s="4" t="n">
        <v>1041379</v>
      </c>
      <c r="M3" s="4" t="n">
        <v>0.0157</v>
      </c>
      <c r="N3" s="4" t="n">
        <v>4.25082</v>
      </c>
      <c r="O3" s="4" t="n">
        <v>0.48084</v>
      </c>
      <c r="P3" s="4" t="n">
        <v>0</v>
      </c>
      <c r="Q3" s="4" t="n">
        <v>0</v>
      </c>
      <c r="R3" s="4" t="n">
        <v>0.48084</v>
      </c>
      <c r="S3" s="4" t="n">
        <v>551.5806</v>
      </c>
      <c r="T3" s="6" t="n">
        <v>551.1</v>
      </c>
      <c r="U3" s="4" t="n">
        <v>1</v>
      </c>
      <c r="V3" s="4" t="n">
        <v>1</v>
      </c>
      <c r="W3" s="4" t="n">
        <v>5443.1</v>
      </c>
      <c r="X3" s="4" t="n">
        <v>0</v>
      </c>
      <c r="Y3" s="4" t="n">
        <v>24</v>
      </c>
      <c r="Z3" s="4" t="n">
        <v>24</v>
      </c>
      <c r="AA3" s="4" t="n">
        <v>4.250877</v>
      </c>
      <c r="AB3" s="5" t="inlineStr"/>
      <c r="AC3" s="4" t="n">
        <v>1</v>
      </c>
      <c r="AD3" s="5" t="inlineStr">
        <is>
          <t>G1A-5 6" (flash β=1.000)</t>
        </is>
      </c>
    </row>
    <row r="4">
      <c r="A4" s="7" t="n">
        <v>2</v>
      </c>
      <c r="B4" s="8" t="inlineStr">
        <is>
          <t>EL-003</t>
        </is>
      </c>
      <c r="C4" s="8" t="inlineStr">
        <is>
          <t>Elbow 90 Long</t>
        </is>
      </c>
      <c r="D4" s="8" t="inlineStr">
        <is>
          <t>6</t>
        </is>
      </c>
      <c r="E4" s="8" t="inlineStr">
        <is>
          <t>STD</t>
        </is>
      </c>
      <c r="F4" s="7" t="n">
        <v>154.051</v>
      </c>
      <c r="G4" s="7" t="n">
        <v>0</v>
      </c>
      <c r="H4" s="7" t="n">
        <v>6.096</v>
      </c>
      <c r="I4" s="7" t="n">
        <v>0</v>
      </c>
      <c r="J4" s="8" t="inlineStr">
        <is>
          <t>VAPOR</t>
        </is>
      </c>
      <c r="K4" s="7" t="n">
        <v>19.0997</v>
      </c>
      <c r="L4" s="7" t="n">
        <v>1041379</v>
      </c>
      <c r="M4" s="7" t="n">
        <v>0.0157</v>
      </c>
      <c r="N4" s="7" t="n">
        <v>4.24714</v>
      </c>
      <c r="O4" s="7" t="n">
        <v>0</v>
      </c>
      <c r="P4" s="7" t="n">
        <v>0.23242</v>
      </c>
      <c r="Q4" s="7" t="n">
        <v>0</v>
      </c>
      <c r="R4" s="7" t="n">
        <v>0.23242</v>
      </c>
      <c r="S4" s="7" t="n">
        <v>551.1</v>
      </c>
      <c r="T4" s="6" t="n">
        <v>550.8677</v>
      </c>
      <c r="U4" s="7" t="n">
        <v>1</v>
      </c>
      <c r="V4" s="7" t="n">
        <v>1</v>
      </c>
      <c r="W4" s="7" t="n">
        <v>5443.1</v>
      </c>
      <c r="X4" s="7" t="n">
        <v>0</v>
      </c>
      <c r="Y4" s="7" t="n">
        <v>24</v>
      </c>
      <c r="Z4" s="7" t="n">
        <v>24</v>
      </c>
      <c r="AA4" s="7" t="n">
        <v>4.247173</v>
      </c>
      <c r="AB4" s="8" t="inlineStr"/>
      <c r="AC4" s="7" t="n">
        <v>1</v>
      </c>
      <c r="AD4" s="8" t="inlineStr">
        <is>
          <t>G1A-5 6" (flash β=1.000)</t>
        </is>
      </c>
    </row>
    <row r="6">
      <c r="A6" s="9" t="inlineStr">
        <is>
          <t>TOTAL</t>
        </is>
      </c>
      <c r="B6" s="10" t="inlineStr">
        <is>
          <t>ΔP = 0.7129 kPa over 6.1 m (2 components  ·  1 lines)</t>
        </is>
      </c>
    </row>
  </sheetData>
  <autoFilter ref="A2:AD2"/>
  <mergeCells count="1"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11" t="inlineStr">
        <is>
          <t>RIGOROUS FLASH PROFILE [Main]  —  isothermal VLE vs pressure</t>
        </is>
      </c>
    </row>
    <row r="3">
      <c r="A3" s="12" t="inlineStr">
        <is>
          <t>No composition available — flash disabled.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 ht="22" customHeight="1">
      <c r="A1" s="11" t="inlineStr">
        <is>
          <t>COMPOSITION SPLITS (mass &amp; molar)   |   Circuit C2   |   Stream (manual)   |   11-Jun-2026 17:58</t>
        </is>
      </c>
    </row>
    <row r="3">
      <c r="A3" s="12" t="inlineStr">
        <is>
          <t>No composition available — Stream Lookup blank (manual stream) or no component data in the HMB.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K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9" customWidth="1" min="4" max="4"/>
    <col width="11" customWidth="1" min="5" max="5"/>
    <col width="13" customWidth="1" min="6" max="6"/>
    <col width="12" customWidth="1" min="7" max="7"/>
    <col width="10" customWidth="1" min="8" max="8"/>
    <col width="14" customWidth="1" min="9" max="9"/>
    <col width="13" customWidth="1" min="10" max="10"/>
    <col width="12" customWidth="1" min="11" max="11"/>
  </cols>
  <sheetData>
    <row r="1" ht="30" customHeight="1">
      <c r="A1" s="13" t="inlineStr">
        <is>
          <t>COMPONENT DETAIL   |   Phase model: VAPOR   |   Compressible gas: ρ scaled to local P (isothermal, const Z). Darcy f·(L/D)·½ρv² + K·½ρv² + ρgΔz.</t>
        </is>
      </c>
    </row>
    <row r="2" ht="32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ID (mm)</t>
        </is>
      </c>
      <c r="E2" s="2" t="inlineStr">
        <is>
          <t>Length (m)</t>
        </is>
      </c>
      <c r="F2" s="2" t="inlineStr">
        <is>
          <t>Velocity (m/s)</t>
        </is>
      </c>
      <c r="G2" s="2" t="inlineStr">
        <is>
          <t>Reynolds</t>
        </is>
      </c>
      <c r="H2" s="2" t="inlineStr">
        <is>
          <t>Friction f</t>
        </is>
      </c>
      <c r="I2" s="2" t="inlineStr">
        <is>
          <t>Density (kg/m3)</t>
        </is>
      </c>
      <c r="J2" s="2" t="inlineStr">
        <is>
          <t>dP Total (kPa)</t>
        </is>
      </c>
      <c r="K2" s="2" t="inlineStr">
        <is>
          <t>P Out (kPa)</t>
        </is>
      </c>
    </row>
    <row r="3">
      <c r="A3" s="14" t="n">
        <v>1</v>
      </c>
      <c r="B3" s="15" t="inlineStr">
        <is>
          <t>P-003</t>
        </is>
      </c>
      <c r="C3" s="15" t="inlineStr">
        <is>
          <t>Straight Pipeline</t>
        </is>
      </c>
      <c r="D3" s="14" t="n">
        <v>154.051</v>
      </c>
      <c r="E3" s="14" t="n">
        <v>6.096</v>
      </c>
      <c r="F3" s="14" t="n">
        <v>19.0829</v>
      </c>
      <c r="G3" s="14" t="n">
        <v>1041379</v>
      </c>
      <c r="H3" s="14" t="n">
        <v>0.0157</v>
      </c>
      <c r="I3" s="14" t="n">
        <v>4.25082</v>
      </c>
      <c r="J3" s="14" t="n">
        <v>0.48084</v>
      </c>
      <c r="K3" s="14" t="n">
        <v>551.1</v>
      </c>
    </row>
    <row r="4">
      <c r="A4" s="4" t="n">
        <v>2</v>
      </c>
      <c r="B4" s="5" t="inlineStr">
        <is>
          <t>EL-003</t>
        </is>
      </c>
      <c r="C4" s="5" t="inlineStr">
        <is>
          <t>Elbow 90 Long</t>
        </is>
      </c>
      <c r="D4" s="4" t="n">
        <v>154.051</v>
      </c>
      <c r="E4" s="4" t="n">
        <v>0</v>
      </c>
      <c r="F4" s="4" t="n">
        <v>19.0997</v>
      </c>
      <c r="G4" s="4" t="n">
        <v>1041379</v>
      </c>
      <c r="H4" s="4" t="n">
        <v>0.0157</v>
      </c>
      <c r="I4" s="4" t="n">
        <v>4.24714</v>
      </c>
      <c r="J4" s="4" t="n">
        <v>0.23242</v>
      </c>
      <c r="K4" s="4" t="n">
        <v>550.8677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</cols>
  <sheetData>
    <row r="1" ht="20" customHeight="1">
      <c r="A1" s="11" t="inlineStr">
        <is>
          <t>HMB STREAM — (manual)</t>
        </is>
      </c>
    </row>
    <row r="2" ht="32" customHeight="1">
      <c r="A2" s="2" t="inlineStr">
        <is>
          <t>Property</t>
        </is>
      </c>
      <c r="B2" s="2" t="inlineStr">
        <is>
          <t>Value</t>
        </is>
      </c>
      <c r="C2" s="2" t="inlineStr">
        <is>
          <t>Unit / Note</t>
        </is>
      </c>
    </row>
    <row r="3">
      <c r="A3" s="16" t="inlineStr">
        <is>
          <t>Phase (HMB)</t>
        </is>
      </c>
      <c r="B3" s="8" t="inlineStr">
        <is>
          <t>VAPOR</t>
        </is>
      </c>
      <c r="C3" s="15" t="inlineStr"/>
    </row>
    <row r="4">
      <c r="A4" s="17" t="inlineStr">
        <is>
          <t>Phase model chosen</t>
        </is>
      </c>
      <c r="B4" s="8" t="inlineStr">
        <is>
          <t>VAPOR</t>
        </is>
      </c>
      <c r="C4" s="5" t="inlineStr">
        <is>
          <t>drives calc dispatch</t>
        </is>
      </c>
    </row>
    <row r="5">
      <c r="A5" s="16" t="inlineStr">
        <is>
          <t>Temperature</t>
        </is>
      </c>
      <c r="B5" s="7" t="n">
        <v>121.11</v>
      </c>
      <c r="C5" s="15" t="inlineStr">
        <is>
          <t>°C</t>
        </is>
      </c>
    </row>
    <row r="6">
      <c r="A6" s="17" t="inlineStr">
        <is>
          <t>Pressure (inlet)</t>
        </is>
      </c>
      <c r="B6" s="7" t="n">
        <v>551.5806</v>
      </c>
      <c r="C6" s="5" t="inlineStr">
        <is>
          <t>kPa</t>
        </is>
      </c>
    </row>
    <row r="7">
      <c r="A7" s="16" t="inlineStr">
        <is>
          <t>Total mass flow</t>
        </is>
      </c>
      <c r="B7" s="7" t="n">
        <v>5443.1</v>
      </c>
      <c r="C7" s="15" t="inlineStr">
        <is>
          <t>kg/hr</t>
        </is>
      </c>
    </row>
    <row r="8">
      <c r="A8" s="17" t="inlineStr">
        <is>
          <t>Vapor mass flow</t>
        </is>
      </c>
      <c r="B8" s="7" t="n">
        <v>5443.1</v>
      </c>
      <c r="C8" s="5" t="inlineStr">
        <is>
          <t>kg/hr</t>
        </is>
      </c>
    </row>
    <row r="9">
      <c r="A9" s="16" t="inlineStr">
        <is>
          <t>Liquid mass flow</t>
        </is>
      </c>
      <c r="B9" s="8" t="inlineStr"/>
      <c r="C9" s="15" t="inlineStr">
        <is>
          <t>kg/hr</t>
        </is>
      </c>
    </row>
    <row r="10">
      <c r="A10" s="17" t="inlineStr">
        <is>
          <t>Molecular weight</t>
        </is>
      </c>
      <c r="B10" s="7" t="n">
        <v>24</v>
      </c>
      <c r="C10" s="5" t="inlineStr">
        <is>
          <t>-</t>
        </is>
      </c>
    </row>
    <row r="11">
      <c r="A11" s="16" t="inlineStr">
        <is>
          <t>Vapor density</t>
        </is>
      </c>
      <c r="B11" s="7" t="n">
        <v>7.2083</v>
      </c>
      <c r="C11" s="15" t="inlineStr">
        <is>
          <t>kg/m3</t>
        </is>
      </c>
    </row>
    <row r="12">
      <c r="A12" s="17" t="inlineStr">
        <is>
          <t>Liquid density</t>
        </is>
      </c>
      <c r="B12" s="8" t="inlineStr"/>
      <c r="C12" s="5" t="inlineStr">
        <is>
          <t>kg/m3</t>
        </is>
      </c>
    </row>
    <row r="13">
      <c r="A13" s="16" t="inlineStr">
        <is>
          <t>Vapor viscosity</t>
        </is>
      </c>
      <c r="B13" s="7" t="n">
        <v>0.012</v>
      </c>
      <c r="C13" s="15" t="inlineStr">
        <is>
          <t>cP</t>
        </is>
      </c>
    </row>
    <row r="14">
      <c r="A14" s="17" t="inlineStr">
        <is>
          <t>Liquid viscosity</t>
        </is>
      </c>
      <c r="B14" s="8" t="inlineStr"/>
      <c r="C14" s="5" t="inlineStr">
        <is>
          <t>cP</t>
        </is>
      </c>
    </row>
    <row r="15">
      <c r="A15" s="16" t="inlineStr">
        <is>
          <t>Vapor Z-factor</t>
        </is>
      </c>
      <c r="B15" s="7" t="n">
        <v>0.95</v>
      </c>
      <c r="C15" s="15" t="inlineStr">
        <is>
          <t>-</t>
        </is>
      </c>
    </row>
    <row r="16">
      <c r="A16" s="17" t="inlineStr">
        <is>
          <t>Liquid surface tension</t>
        </is>
      </c>
      <c r="B16" s="8" t="inlineStr"/>
      <c r="C16" s="5" t="inlineStr">
        <is>
          <t>dyn/cm</t>
        </is>
      </c>
    </row>
    <row r="17">
      <c r="A17" s="16" t="inlineStr">
        <is>
          <t>Source sheet</t>
        </is>
      </c>
      <c r="B17" s="8" t="inlineStr">
        <is>
          <t>manual-input</t>
        </is>
      </c>
      <c r="C17" s="15" t="inlineStr"/>
    </row>
    <row r="18">
      <c r="A18" s="17" t="inlineStr">
        <is>
          <t>Unconverged warning</t>
        </is>
      </c>
      <c r="B18" s="8" t="inlineStr">
        <is>
          <t>No</t>
        </is>
      </c>
      <c r="C18" s="5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AB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6" customWidth="1" min="4" max="4"/>
    <col width="9" customWidth="1" min="5" max="5"/>
    <col width="9" customWidth="1" min="6" max="6"/>
    <col width="8" customWidth="1" min="7" max="7"/>
    <col width="12" customWidth="1" min="8" max="8"/>
    <col width="11" customWidth="1" min="9" max="9"/>
    <col width="14" customWidth="1" min="10" max="10"/>
    <col width="8" customWidth="1" min="11" max="11"/>
    <col width="8" customWidth="1" min="12" max="12"/>
    <col width="11" customWidth="1" min="13" max="13"/>
    <col width="12" customWidth="1" min="14" max="14"/>
    <col width="11" customWidth="1" min="15" max="15"/>
    <col width="12" customWidth="1" min="16" max="16"/>
    <col width="16" customWidth="1" min="17" max="17"/>
    <col width="13" customWidth="1" min="18" max="18"/>
    <col width="13" customWidth="1" min="19" max="19"/>
    <col width="16" customWidth="1" min="20" max="20"/>
    <col width="13" customWidth="1" min="21" max="21"/>
    <col width="13" customWidth="1" min="22" max="22"/>
    <col width="16" customWidth="1" min="23" max="23"/>
    <col width="13" customWidth="1" min="24" max="24"/>
    <col width="13" customWidth="1" min="25" max="25"/>
    <col width="16" customWidth="1" min="26" max="26"/>
    <col width="13" customWidth="1" min="27" max="27"/>
    <col width="13" customWidth="1" min="28" max="28"/>
  </cols>
  <sheetData>
    <row r="1" ht="22" customHeight="1">
      <c r="A1" s="11" t="inlineStr">
        <is>
          <t>FIV — EI T2.2   |   Line Circuit C2  (H-285) &lt;-&gt; Stream (manual)   |   LOF limits = 0.15, 0.25, 0.35, 0.45   |   Steel   |   11-Jun-2026 17:58</t>
        </is>
      </c>
    </row>
    <row r="2" ht="32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NPS</t>
        </is>
      </c>
      <c r="E2" s="2" t="inlineStr">
        <is>
          <t>OD (mm)</t>
        </is>
      </c>
      <c r="F2" s="2" t="inlineStr">
        <is>
          <t>Wall (mm)</t>
        </is>
      </c>
      <c r="G2" s="2" t="inlineStr">
        <is>
          <t>ID (mm)</t>
        </is>
      </c>
      <c r="H2" s="2" t="inlineStr">
        <is>
          <t>Velocity (m/s)</t>
        </is>
      </c>
      <c r="I2" s="2" t="inlineStr">
        <is>
          <t>ρ (kg/m3)</t>
        </is>
      </c>
      <c r="J2" s="2" t="inlineStr">
        <is>
          <t>ρv² (kg/m·s²)</t>
        </is>
      </c>
      <c r="K2" s="2" t="inlineStr">
        <is>
          <t>GVF</t>
        </is>
      </c>
      <c r="L2" s="2" t="inlineStr">
        <is>
          <t>FCF</t>
        </is>
      </c>
      <c r="M2" s="2" t="inlineStr">
        <is>
          <t>Fv Stiff</t>
        </is>
      </c>
      <c r="N2" s="2" t="inlineStr">
        <is>
          <t>Fv Med-Stiff</t>
        </is>
      </c>
      <c r="O2" s="2" t="inlineStr">
        <is>
          <t>Fv Medium</t>
        </is>
      </c>
      <c r="P2" s="2" t="inlineStr">
        <is>
          <t>Fv Flexible</t>
        </is>
      </c>
      <c r="Q2" s="3" t="inlineStr">
        <is>
          <t>Support (LOF≤0.15)</t>
        </is>
      </c>
      <c r="R2" s="3" t="inlineStr">
        <is>
          <t>Span @0.15 (m)</t>
        </is>
      </c>
      <c r="S2" s="3" t="inlineStr">
        <is>
          <t>Span @0.15 (ft)</t>
        </is>
      </c>
      <c r="T2" s="3" t="inlineStr">
        <is>
          <t>Support (LOF≤0.25)</t>
        </is>
      </c>
      <c r="U2" s="3" t="inlineStr">
        <is>
          <t>Span @0.25 (m)</t>
        </is>
      </c>
      <c r="V2" s="3" t="inlineStr">
        <is>
          <t>Span @0.25 (ft)</t>
        </is>
      </c>
      <c r="W2" s="3" t="inlineStr">
        <is>
          <t>Support (LOF≤0.35)</t>
        </is>
      </c>
      <c r="X2" s="3" t="inlineStr">
        <is>
          <t>Span @0.35 (m)</t>
        </is>
      </c>
      <c r="Y2" s="3" t="inlineStr">
        <is>
          <t>Span @0.35 (ft)</t>
        </is>
      </c>
      <c r="Z2" s="3" t="inlineStr">
        <is>
          <t>Support (LOF≤0.45)</t>
        </is>
      </c>
      <c r="AA2" s="3" t="inlineStr">
        <is>
          <t>Span @0.45 (m)</t>
        </is>
      </c>
      <c r="AB2" s="3" t="inlineStr">
        <is>
          <t>Span @0.45 (ft)</t>
        </is>
      </c>
    </row>
    <row r="3">
      <c r="A3" s="14" t="n">
        <v>1</v>
      </c>
      <c r="B3" s="15" t="inlineStr">
        <is>
          <t>P-003</t>
        </is>
      </c>
      <c r="C3" s="15" t="inlineStr">
        <is>
          <t>Straight Pipeline</t>
        </is>
      </c>
      <c r="D3" s="15" t="inlineStr">
        <is>
          <t>6</t>
        </is>
      </c>
      <c r="E3" s="14" t="n">
        <v>168.27</v>
      </c>
      <c r="F3" s="14" t="n">
        <v>7.11</v>
      </c>
      <c r="G3" s="14" t="n">
        <v>154.051</v>
      </c>
      <c r="H3" s="14" t="n">
        <v>19.0829</v>
      </c>
      <c r="I3" s="14" t="n">
        <v>4.25082</v>
      </c>
      <c r="J3" s="14" t="n">
        <v>1548</v>
      </c>
      <c r="K3" s="14" t="n">
        <v>1</v>
      </c>
      <c r="L3" s="14" t="n">
        <v>0.1</v>
      </c>
      <c r="M3" s="14" t="n">
        <v>36641.5</v>
      </c>
      <c r="N3" s="14" t="n">
        <v>18022.5</v>
      </c>
      <c r="O3" s="14" t="n">
        <v>9267.5</v>
      </c>
      <c r="P3" s="14" t="n">
        <v>2622</v>
      </c>
      <c r="Q3" s="10" t="inlineStr">
        <is>
          <t>Flexible</t>
        </is>
      </c>
      <c r="R3" s="15" t="inlineStr">
        <is>
          <t>No EI span limit</t>
        </is>
      </c>
      <c r="S3" s="15" t="inlineStr"/>
      <c r="T3" s="10" t="inlineStr">
        <is>
          <t>Flexible</t>
        </is>
      </c>
      <c r="U3" s="15" t="inlineStr">
        <is>
          <t>No EI span limit</t>
        </is>
      </c>
      <c r="V3" s="15" t="inlineStr"/>
      <c r="W3" s="10" t="inlineStr">
        <is>
          <t>Flexible</t>
        </is>
      </c>
      <c r="X3" s="15" t="inlineStr">
        <is>
          <t>No EI span limit</t>
        </is>
      </c>
      <c r="Y3" s="15" t="inlineStr"/>
      <c r="Z3" s="10" t="inlineStr">
        <is>
          <t>Flexible</t>
        </is>
      </c>
      <c r="AA3" s="15" t="inlineStr">
        <is>
          <t>No EI span limit</t>
        </is>
      </c>
      <c r="AB3" s="15" t="inlineStr"/>
    </row>
    <row r="4">
      <c r="A4" s="4" t="n">
        <v>2</v>
      </c>
      <c r="B4" s="5" t="inlineStr">
        <is>
          <t>EL-003</t>
        </is>
      </c>
      <c r="C4" s="5" t="inlineStr">
        <is>
          <t>Elbow 90 Long</t>
        </is>
      </c>
      <c r="D4" s="5" t="inlineStr">
        <is>
          <t>6</t>
        </is>
      </c>
      <c r="E4" s="4" t="n">
        <v>168.27</v>
      </c>
      <c r="F4" s="4" t="n">
        <v>7.11</v>
      </c>
      <c r="G4" s="4" t="n">
        <v>154.051</v>
      </c>
      <c r="H4" s="4" t="n">
        <v>19.0997</v>
      </c>
      <c r="I4" s="4" t="n">
        <v>4.24714</v>
      </c>
      <c r="J4" s="4" t="n">
        <v>1549.3</v>
      </c>
      <c r="K4" s="4" t="n">
        <v>1</v>
      </c>
      <c r="L4" s="4" t="n">
        <v>0.1</v>
      </c>
      <c r="M4" s="4" t="n">
        <v>36641.5</v>
      </c>
      <c r="N4" s="4" t="n">
        <v>18022.5</v>
      </c>
      <c r="O4" s="4" t="n">
        <v>9267.5</v>
      </c>
      <c r="P4" s="4" t="n">
        <v>2622</v>
      </c>
      <c r="Q4" s="10" t="inlineStr">
        <is>
          <t>Flexible</t>
        </is>
      </c>
      <c r="R4" s="5" t="inlineStr">
        <is>
          <t>No EI span limit</t>
        </is>
      </c>
      <c r="S4" s="5" t="inlineStr"/>
      <c r="T4" s="10" t="inlineStr">
        <is>
          <t>Flexible</t>
        </is>
      </c>
      <c r="U4" s="5" t="inlineStr">
        <is>
          <t>No EI span limit</t>
        </is>
      </c>
      <c r="V4" s="5" t="inlineStr"/>
      <c r="W4" s="10" t="inlineStr">
        <is>
          <t>Flexible</t>
        </is>
      </c>
      <c r="X4" s="5" t="inlineStr">
        <is>
          <t>No EI span limit</t>
        </is>
      </c>
      <c r="Y4" s="5" t="inlineStr"/>
      <c r="Z4" s="10" t="inlineStr">
        <is>
          <t>Flexible</t>
        </is>
      </c>
      <c r="AA4" s="5" t="inlineStr">
        <is>
          <t>No EI span limit</t>
        </is>
      </c>
      <c r="AB4" s="5" t="inlineStr"/>
    </row>
    <row r="7">
      <c r="A7" s="9" t="inlineStr">
        <is>
          <t>CONTROLLING (max ρv²)</t>
        </is>
      </c>
      <c r="C7" s="10" t="inlineStr">
        <is>
          <t>EL-003 / Elbow 90 Long  |  ρv²=1549  GVF=1.000  FCF=0.100  |  LOF≤0.15: Flexible  LOF≤0.25: Flexible  LOF≤0.35: Flexible  LOF≤0.45: Flexible</t>
        </is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9" t="n"/>
    </row>
    <row r="9">
      <c r="A9" s="20" t="inlineStr"/>
    </row>
    <row r="10">
      <c r="A10" s="21" t="inlineStr">
        <is>
          <t>METHOD — Energy Institute T2.2 screening (SI units).</t>
        </is>
      </c>
    </row>
    <row r="11">
      <c r="A11" s="20" t="inlineStr">
        <is>
          <t xml:space="preserve">  ρv² = ρ·v²  (effective mixture density × effective velocity²).</t>
        </is>
      </c>
    </row>
    <row r="12">
      <c r="A12" s="20" t="inlineStr">
        <is>
          <t xml:space="preserve">  FCF: GVF&lt;0.2 → 0.2+4·GVF;  0.2–0.88 → 1;  0.88–0.99 → −27.882·GVF²+45.545·GVF−17.495;  ≥0.99 → √(µgas/1.2e-3).</t>
        </is>
      </c>
    </row>
    <row r="13">
      <c r="A13" s="20" t="inlineStr">
        <is>
          <t xml:space="preserve">  Fv per support arrangement = α·(D/T)^β  (Medium/Flexible ≤DN200 use exp(α·(D/T)^β)).  D=OD mm, T=wall mm.</t>
        </is>
      </c>
    </row>
    <row r="14">
      <c r="A14" s="20" t="inlineStr">
        <is>
          <t xml:space="preserve">  LOF = ρv²·FCF / Fv.   For each LOF limit the least-stiff support arrangement whose Fv keeps LOF ≤ limit is reported, with its max span.</t>
        </is>
      </c>
    </row>
    <row r="15">
      <c r="A15" s="20" t="inlineStr">
        <is>
          <t xml:space="preserve">  LOF limits screened: 0.15, 0.25, 0.35, 0.45.</t>
        </is>
      </c>
    </row>
    <row r="16">
      <c r="A16" s="20" t="inlineStr">
        <is>
          <t xml:space="preserve">  'No EI span limit' = even a Flexible arrangement satisfies the limit. 'Not achievable' = even Stiff cannot.</t>
        </is>
      </c>
    </row>
    <row r="17">
      <c r="A17" s="20" t="inlineStr">
        <is>
          <t>VERIFY against the contracted EI guideline edition before design use.</t>
        </is>
      </c>
    </row>
  </sheetData>
  <mergeCells count="2">
    <mergeCell ref="C7:AB7"/>
    <mergeCell ref="A1:A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9" customWidth="1" min="4" max="4"/>
    <col width="9" customWidth="1" min="5" max="5"/>
    <col width="15" customWidth="1" min="6" max="6"/>
    <col width="14" customWidth="1" min="7" max="7"/>
    <col width="13" customWidth="1" min="8" max="8"/>
    <col width="11" customWidth="1" min="9" max="9"/>
    <col width="11" customWidth="1" min="10" max="10"/>
    <col width="13" customWidth="1" min="11" max="11"/>
    <col width="10" customWidth="1" min="12" max="12"/>
    <col width="18" customWidth="1" min="13" max="13"/>
  </cols>
  <sheetData>
    <row r="1" ht="22" customHeight="1">
      <c r="A1" s="11" t="inlineStr">
        <is>
          <t>AIV — source attenuation   |   Line Circuit C2  (H-285) &lt;-&gt; Stream (manual)   |   η=0.0001   |   11-Jun-2026 17:58</t>
        </is>
      </c>
    </row>
    <row r="2">
      <c r="A2" s="9" t="inlineStr">
        <is>
          <t>SOURCE</t>
        </is>
      </c>
      <c r="B2" s="10" t="inlineStr">
        <is>
          <t>P-003 / Straight Pipeline  |  Δp=0.4808 kPa  |  W_acoustic=0.0171 W  |  PWL=102.3 dB</t>
        </is>
      </c>
    </row>
    <row r="3" ht="32" customHeight="1">
      <c r="A3" s="2" t="inlineStr">
        <is>
          <t>Seq</t>
        </is>
      </c>
      <c r="B3" s="2" t="inlineStr">
        <is>
          <t>Comp ID</t>
        </is>
      </c>
      <c r="C3" s="2" t="inlineStr">
        <is>
          <t>Fitting</t>
        </is>
      </c>
      <c r="D3" s="2" t="inlineStr">
        <is>
          <t>OD (mm)</t>
        </is>
      </c>
      <c r="E3" s="2" t="inlineStr">
        <is>
          <t>Wall (mm)</t>
        </is>
      </c>
      <c r="F3" s="2" t="inlineStr">
        <is>
          <t>Dist from src (m)</t>
        </is>
      </c>
      <c r="G3" s="2" t="inlineStr">
        <is>
          <t>Cum. atten (dB)</t>
        </is>
      </c>
      <c r="H3" s="2" t="inlineStr">
        <is>
          <t>Local PWL (dB)</t>
        </is>
      </c>
      <c r="I3" s="2" t="inlineStr">
        <is>
          <t>C-M param</t>
        </is>
      </c>
      <c r="J3" s="2" t="inlineStr">
        <is>
          <t>C-M screen</t>
        </is>
      </c>
      <c r="K3" s="2" t="inlineStr">
        <is>
          <t>EI likelihood</t>
        </is>
      </c>
      <c r="L3" s="2" t="inlineStr">
        <is>
          <t>EI risk</t>
        </is>
      </c>
      <c r="M3" s="2" t="inlineStr">
        <is>
          <t>Dyn. stress idx (MPa)</t>
        </is>
      </c>
    </row>
    <row r="4">
      <c r="A4" s="4" t="n">
        <v>1</v>
      </c>
      <c r="B4" s="5" t="inlineStr">
        <is>
          <t>P-003</t>
        </is>
      </c>
      <c r="C4" s="5" t="inlineStr">
        <is>
          <t>Straight Pipeline</t>
        </is>
      </c>
      <c r="D4" s="4" t="n">
        <v>168.3</v>
      </c>
      <c r="E4" s="4" t="n">
        <v>7.11</v>
      </c>
      <c r="F4" s="4" t="n">
        <v>0</v>
      </c>
      <c r="G4" s="4" t="n">
        <v>0</v>
      </c>
      <c r="H4" s="4" t="n">
        <v>102.3</v>
      </c>
      <c r="I4" s="4" t="n">
        <v>124.6</v>
      </c>
      <c r="J4" s="10" t="inlineStr">
        <is>
          <t>LOW</t>
        </is>
      </c>
      <c r="K4" s="4" t="n">
        <v>129.8</v>
      </c>
      <c r="L4" s="10" t="inlineStr">
        <is>
          <t>LOW</t>
        </is>
      </c>
      <c r="M4" s="4" t="n">
        <v>6.5</v>
      </c>
    </row>
    <row r="5">
      <c r="A5" s="14" t="n">
        <v>2</v>
      </c>
      <c r="B5" s="15" t="inlineStr">
        <is>
          <t>EL-003</t>
        </is>
      </c>
      <c r="C5" s="15" t="inlineStr">
        <is>
          <t>Elbow 90 Long</t>
        </is>
      </c>
      <c r="D5" s="14" t="n">
        <v>168.3</v>
      </c>
      <c r="E5" s="14" t="n">
        <v>7.11</v>
      </c>
      <c r="F5" s="14" t="n">
        <v>0</v>
      </c>
      <c r="G5" s="14" t="n">
        <v>2</v>
      </c>
      <c r="H5" s="14" t="n">
        <v>100.3</v>
      </c>
      <c r="I5" s="14" t="n">
        <v>122.6</v>
      </c>
      <c r="J5" s="10" t="inlineStr">
        <is>
          <t>LOW</t>
        </is>
      </c>
      <c r="K5" s="14" t="n">
        <v>127.8</v>
      </c>
      <c r="L5" s="10" t="inlineStr">
        <is>
          <t>LOW</t>
        </is>
      </c>
      <c r="M5" s="14" t="n">
        <v>6.5</v>
      </c>
    </row>
    <row r="8">
      <c r="A8" s="21" t="inlineStr">
        <is>
          <t>METHOD — AIV with source attenuation.</t>
        </is>
      </c>
    </row>
    <row r="9">
      <c r="A9" s="20" t="inlineStr">
        <is>
          <t xml:space="preserve">  Source = the component with the largest Δp (pressure letdown).</t>
        </is>
      </c>
    </row>
    <row r="10">
      <c r="A10" s="20" t="inlineStr">
        <is>
          <t xml:space="preserve">  Acoustic power W = η · ṁ·Δp/ρ ;  PWL = 10·log10(W/1e-12).</t>
        </is>
      </c>
    </row>
    <row r="11">
      <c r="A11" s="20" t="inlineStr">
        <is>
          <t xml:space="preserve">  Attenuation from source: 0.2 dB/m straight pipe + 2 dB/elbow, 5 dB/tee, 2 dB/reducer.  Local PWL = source PWL − cumulative attenuation.</t>
        </is>
      </c>
    </row>
    <row r="12">
      <c r="A12" s="20" t="inlineStr">
        <is>
          <t xml:space="preserve">  Carucci-Mueller: param = PWL + 10·log10(D_mm);  &lt;145 LOW, &lt;155 MED, ≥155 HIGH.</t>
        </is>
      </c>
    </row>
    <row r="13">
      <c r="A13" s="20" t="inlineStr">
        <is>
          <t xml:space="preserve">  EI likelihood: PWL + 20·log10(D/t);  &lt;160 LOW, &lt;170 MED, ≥170 HIGH.</t>
        </is>
      </c>
    </row>
    <row r="14">
      <c r="A14" s="20" t="inlineStr">
        <is>
          <t xml:space="preserve">  η (acoustic efficiency) = 0.0001; calibrate to the device.</t>
        </is>
      </c>
    </row>
    <row r="15">
      <c r="A15" s="20" t="inlineStr">
        <is>
          <t>VERIFY source location and η against the design basis before use.</t>
        </is>
      </c>
    </row>
  </sheetData>
  <mergeCells count="2">
    <mergeCell ref="B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R17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9" customWidth="1" min="10" max="10"/>
    <col width="18" customWidth="1" min="11" max="11"/>
    <col width="14" customWidth="1" min="12" max="12"/>
    <col width="16" customWidth="1" min="13" max="13"/>
    <col width="15" customWidth="1" min="14" max="14"/>
    <col width="18" customWidth="1" min="15" max="15"/>
    <col width="13" customWidth="1" min="16" max="16"/>
    <col width="11" customWidth="1" min="17" max="17"/>
    <col width="16" customWidth="1" min="18" max="18"/>
  </cols>
  <sheetData>
    <row r="1">
      <c r="A1" s="22" t="inlineStr">
        <is>
          <t>Two-Phase Flow Regime Map   |   Line Circuit C2  (H-285) &lt;-&gt; Stream (manual)   |   11-Jun-2026 17:58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9" t="n"/>
    </row>
    <row r="2" ht="32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ID (mm)</t>
        </is>
      </c>
      <c r="E2" s="2" t="inlineStr">
        <is>
          <t>Incl (°)</t>
        </is>
      </c>
      <c r="F2" s="2" t="inlineStr">
        <is>
          <t>Vsg (m/s)</t>
        </is>
      </c>
      <c r="G2" s="2" t="inlineStr">
        <is>
          <t>Vsl (m/s)</t>
        </is>
      </c>
      <c r="H2" s="2" t="inlineStr">
        <is>
          <t>Vm (m/s)</t>
        </is>
      </c>
      <c r="I2" s="2" t="inlineStr">
        <is>
          <t>GVF</t>
        </is>
      </c>
      <c r="J2" s="2" t="inlineStr">
        <is>
          <t>Taitel-Dukler (horiz)</t>
        </is>
      </c>
      <c r="K2" s="2" t="inlineStr">
        <is>
          <t>Taitel-Barnea (vert)</t>
        </is>
      </c>
      <c r="L2" s="2" t="inlineStr">
        <is>
          <t>Baker (horiz)</t>
        </is>
      </c>
      <c r="M2" s="2" t="inlineStr">
        <is>
          <t>Hewitt-Roberts (vert)</t>
        </is>
      </c>
      <c r="N2" s="2" t="inlineStr">
        <is>
          <t>Barnea unified</t>
        </is>
      </c>
      <c r="O2" s="2" t="inlineStr">
        <is>
          <t>Shell DEP / Beggs-Brill</t>
        </is>
      </c>
      <c r="P2" s="2" t="inlineStr">
        <is>
          <t>Slug freq (/min)</t>
        </is>
      </c>
      <c r="Q2" s="2" t="inlineStr">
        <is>
          <t>Slug holdup</t>
        </is>
      </c>
      <c r="R2" s="2" t="inlineStr">
        <is>
          <t>Slug force @bend (N)</t>
        </is>
      </c>
    </row>
    <row r="3">
      <c r="A3" s="23" t="n">
        <v>1</v>
      </c>
      <c r="B3" s="23" t="inlineStr">
        <is>
          <t>P-003</t>
        </is>
      </c>
      <c r="C3" s="23" t="inlineStr">
        <is>
          <t>Straight Pipeline</t>
        </is>
      </c>
      <c r="D3" s="23" t="n">
        <v>154.051</v>
      </c>
      <c r="E3" s="23" t="n">
        <v>0</v>
      </c>
      <c r="F3" s="23" t="n">
        <v>19.083</v>
      </c>
      <c r="G3" s="23" t="n">
        <v>0</v>
      </c>
      <c r="H3" s="23" t="n">
        <v>19.083</v>
      </c>
      <c r="I3" s="23" t="n">
        <v>1</v>
      </c>
      <c r="J3" s="24" t="inlineStr">
        <is>
          <t>Single-phase gas</t>
        </is>
      </c>
      <c r="K3" s="24" t="inlineStr">
        <is>
          <t>Single-phase gas</t>
        </is>
      </c>
      <c r="L3" s="24" t="inlineStr">
        <is>
          <t>Single-phase gas</t>
        </is>
      </c>
      <c r="M3" s="24" t="inlineStr">
        <is>
          <t>Single-phase gas</t>
        </is>
      </c>
      <c r="N3" s="24" t="inlineStr">
        <is>
          <t>Single-phase gas</t>
        </is>
      </c>
      <c r="O3" s="24" t="inlineStr">
        <is>
          <t>Single-phase gas</t>
        </is>
      </c>
      <c r="P3" s="23" t="inlineStr">
        <is>
          <t>—</t>
        </is>
      </c>
      <c r="Q3" s="23" t="inlineStr">
        <is>
          <t>—</t>
        </is>
      </c>
      <c r="R3" s="23" t="inlineStr">
        <is>
          <t>—</t>
        </is>
      </c>
    </row>
    <row r="4">
      <c r="A4" s="23" t="n">
        <v>2</v>
      </c>
      <c r="B4" s="23" t="inlineStr">
        <is>
          <t>EL-003</t>
        </is>
      </c>
      <c r="C4" s="23" t="inlineStr">
        <is>
          <t>Elbow 90 Long</t>
        </is>
      </c>
      <c r="D4" s="23" t="n">
        <v>154.051</v>
      </c>
      <c r="E4" s="23" t="n">
        <v>0</v>
      </c>
      <c r="F4" s="23" t="n">
        <v>19.1</v>
      </c>
      <c r="G4" s="23" t="n">
        <v>0</v>
      </c>
      <c r="H4" s="23" t="n">
        <v>19.1</v>
      </c>
      <c r="I4" s="23" t="n">
        <v>1</v>
      </c>
      <c r="J4" s="24" t="inlineStr">
        <is>
          <t>Single-phase gas</t>
        </is>
      </c>
      <c r="K4" s="24" t="inlineStr">
        <is>
          <t>Single-phase gas</t>
        </is>
      </c>
      <c r="L4" s="24" t="inlineStr">
        <is>
          <t>Single-phase gas</t>
        </is>
      </c>
      <c r="M4" s="24" t="inlineStr">
        <is>
          <t>Single-phase gas</t>
        </is>
      </c>
      <c r="N4" s="24" t="inlineStr">
        <is>
          <t>Single-phase gas</t>
        </is>
      </c>
      <c r="O4" s="24" t="inlineStr">
        <is>
          <t>Single-phase gas</t>
        </is>
      </c>
      <c r="P4" s="23" t="inlineStr">
        <is>
          <t>—</t>
        </is>
      </c>
      <c r="Q4" s="23" t="inlineStr">
        <is>
          <t>—</t>
        </is>
      </c>
      <c r="R4" s="23" t="inlineStr">
        <is>
          <t>—</t>
        </is>
      </c>
    </row>
    <row r="6">
      <c r="A6" s="25" t="inlineStr">
        <is>
          <t>SUMMARY</t>
        </is>
      </c>
      <c r="B6" s="25" t="inlineStr"/>
      <c r="C6" s="25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5" t="inlineStr"/>
      <c r="L6" s="25" t="inlineStr"/>
      <c r="M6" s="25" t="inlineStr"/>
      <c r="N6" s="25" t="inlineStr"/>
      <c r="O6" s="25" t="inlineStr"/>
      <c r="P6" s="25" t="inlineStr"/>
      <c r="Q6" s="25" t="inlineStr"/>
      <c r="R6" s="25" t="inlineStr"/>
    </row>
    <row r="7">
      <c r="A7" s="20" t="inlineStr">
        <is>
          <t>All stations single-phase gas — no two-phase regime applies (GVF≈1).</t>
        </is>
      </c>
    </row>
    <row r="9">
      <c r="A9" s="26" t="inlineStr">
        <is>
          <t>METHODS — six independent two-phase flow-pattern correlations are run per station so transitions (regime disagreement) are visible.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9" t="n"/>
    </row>
    <row r="10">
      <c r="A10" s="26" t="inlineStr">
        <is>
          <t xml:space="preserve">  Taitel-Dukler (1976): mechanistic, horizontal/near-horizontal. Solves equilibrium liquid level h̃L from Martinelli X, then transitions A (stratified→intermittent/annular, via F), B (smooth→wavy, via K), C (→dispersed bubble, via T), D (intermittent↔annular at hL/D≈0.35).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9" t="n"/>
    </row>
    <row r="11">
      <c r="A11" s="26" t="inlineStr">
        <is>
          <t xml:space="preserve">  Taitel-Barnea (1980): mechanistic vertical/steep up-flow — bubble, slug, churn, annular, dispersed-bubble (bubble-rise &amp; annular vsg).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9" t="n"/>
    </row>
    <row r="12">
      <c r="A12" s="26" t="inlineStr">
        <is>
          <t xml:space="preserve">  Baker (1954): empirical horizontal mass-flux map (Bx, By with λ, ψ property groups). Boundaries are an approximate chart digitisation.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9" t="n"/>
    </row>
    <row r="13">
      <c r="A13" s="26" t="inlineStr">
        <is>
          <t xml:space="preserve">  Hewitt-Roberts (1969): empirical vertical momentum-flux map (ρL·vsL² vs ρG·vsG²).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9" t="n"/>
    </row>
    <row r="14">
      <c r="A14" s="26" t="inlineStr">
        <is>
          <t xml:space="preserve">  Barnea (1987) unified: inclination-aware; adds the dispersed-bubble &amp; annular criteria and selects horizontal-TD or vertical-Barnea by angle.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9" t="n"/>
    </row>
    <row r="15">
      <c r="A15" s="26" t="inlineStr">
        <is>
          <t xml:space="preserve">  Shell DEP / Beggs-Brill: the λL–Froude L1..L4 pattern map referenced by Shell DEP 31.22.05.11 for horizontal lines.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9" t="n"/>
    </row>
    <row r="16">
      <c r="A16" s="26" t="inlineStr">
        <is>
          <t>SLUG — frequency: Gregory-Scott (1969) → slugs/min;  holdup: Gregory (1978);  force: √2·ρ_slug·vm²·A = resultant momentum reaction at a 90° bend (ρ_slug = ρL·HLS + ρG·(1−HLS)).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9" t="n"/>
    </row>
    <row r="17">
      <c r="A17" s="26" t="inlineStr">
        <is>
          <t>VERIFY mechanistic transitions against a dedicated multiphase tool (e.g. OLGA / LedaFlow) before design use.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9" t="n"/>
    </row>
  </sheetData>
  <mergeCells count="10">
    <mergeCell ref="A15:R15"/>
    <mergeCell ref="A16:R16"/>
    <mergeCell ref="A11:R11"/>
    <mergeCell ref="A10:R10"/>
    <mergeCell ref="A13:R13"/>
    <mergeCell ref="A14:R14"/>
    <mergeCell ref="A1:R1"/>
    <mergeCell ref="A17:R17"/>
    <mergeCell ref="A9:R9"/>
    <mergeCell ref="A12:R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Z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9" customWidth="1" min="9" max="9"/>
    <col width="15" customWidth="1" min="10" max="10"/>
    <col width="9" customWidth="1" min="11" max="11"/>
    <col width="9" customWidth="1" min="12" max="12"/>
    <col width="9" customWidth="1" min="13" max="13"/>
    <col width="9" customWidth="1" min="14" max="14"/>
    <col width="13" customWidth="1" min="15" max="15"/>
    <col width="11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12" customWidth="1" min="25" max="25"/>
    <col width="9" customWidth="1" min="26" max="26"/>
  </cols>
  <sheetData>
    <row r="1" ht="22" customHeight="1">
      <c r="A1" s="11" t="inlineStr">
        <is>
          <t>FLOW-PATTERN PARAMETERS  |  Line Circuit C2  (H-285) &lt;-&gt; Stream (manual)   |   per-station, local pressure  (replica of Slug-flow Calculation)</t>
        </is>
      </c>
    </row>
    <row r="2" ht="30" customHeight="1">
      <c r="A2" s="2" t="inlineStr">
        <is>
          <t>Seq</t>
        </is>
      </c>
      <c r="B2" s="2" t="inlineStr">
        <is>
          <t>Comp ID</t>
        </is>
      </c>
      <c r="C2" s="2" t="inlineStr">
        <is>
          <t>Fitting</t>
        </is>
      </c>
      <c r="D2" s="2" t="inlineStr">
        <is>
          <t>ID (in)</t>
        </is>
      </c>
      <c r="E2" s="2" t="inlineStr">
        <is>
          <t>P (psia)</t>
        </is>
      </c>
      <c r="F2" s="2" t="inlineStr">
        <is>
          <t>Vsg (m/s)</t>
        </is>
      </c>
      <c r="G2" s="2" t="inlineStr">
        <is>
          <t>Vsl (m/s)</t>
        </is>
      </c>
      <c r="H2" s="2" t="inlineStr">
        <is>
          <t>Fr Gas</t>
        </is>
      </c>
      <c r="I2" s="2" t="inlineStr">
        <is>
          <t>Fr Liq</t>
        </is>
      </c>
      <c r="J2" s="2" t="inlineStr">
        <is>
          <t>Liquid load Fi</t>
        </is>
      </c>
      <c r="K2" s="2" t="inlineStr">
        <is>
          <t>X (L-M)</t>
        </is>
      </c>
      <c r="L2" s="2" t="inlineStr">
        <is>
          <t>1/X</t>
        </is>
      </c>
      <c r="M2" s="2" t="inlineStr">
        <is>
          <t>K (T-D)</t>
        </is>
      </c>
      <c r="N2" s="2" t="inlineStr">
        <is>
          <t>T (T-D)</t>
        </is>
      </c>
      <c r="O2" s="2" t="inlineStr">
        <is>
          <t>Gt (kg/s·m²)</t>
        </is>
      </c>
      <c r="P2" s="2" t="inlineStr">
        <is>
          <t>Vap frac y</t>
        </is>
      </c>
      <c r="Q2" s="2" t="inlineStr">
        <is>
          <t>R (homog)</t>
        </is>
      </c>
      <c r="R2" s="2" t="inlineStr">
        <is>
          <t>C gt</t>
        </is>
      </c>
      <c r="S2" s="2" t="inlineStr">
        <is>
          <t>ρl·vl²</t>
        </is>
      </c>
      <c r="T2" s="2" t="inlineStr">
        <is>
          <t>ρg·vg²</t>
        </is>
      </c>
      <c r="U2" s="2" t="inlineStr">
        <is>
          <t>λb</t>
        </is>
      </c>
      <c r="V2" s="2" t="inlineStr">
        <is>
          <t>Fb</t>
        </is>
      </c>
      <c r="W2" s="2" t="inlineStr">
        <is>
          <t>Qg/λb</t>
        </is>
      </c>
      <c r="X2" s="2" t="inlineStr">
        <is>
          <t>Ql·Fb</t>
        </is>
      </c>
      <c r="Y2" s="2" t="inlineStr">
        <is>
          <t>(Qg/Ql)^0.5</t>
        </is>
      </c>
      <c r="Z2" s="2" t="inlineStr">
        <is>
          <t>Frtp/√L</t>
        </is>
      </c>
    </row>
    <row r="3">
      <c r="A3" s="27" t="n">
        <v>1</v>
      </c>
      <c r="B3" s="27" t="inlineStr">
        <is>
          <t>P-003</t>
        </is>
      </c>
      <c r="C3" s="27" t="inlineStr">
        <is>
          <t>Straight Pipeline</t>
        </is>
      </c>
      <c r="D3" s="6" t="n">
        <v>6.065</v>
      </c>
      <c r="E3" s="6" t="n">
        <v>80</v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5" t="n">
        <v>2</v>
      </c>
      <c r="B4" s="5" t="inlineStr">
        <is>
          <t>EL-003</t>
        </is>
      </c>
      <c r="C4" s="5" t="inlineStr">
        <is>
          <t>Elbow 90 Long</t>
        </is>
      </c>
      <c r="D4" s="4" t="n">
        <v>6.065</v>
      </c>
      <c r="E4" s="4" t="n">
        <v>79.9303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</sheetData>
  <mergeCells count="1">
    <mergeCell ref="A1:Z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D1:AW5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path X</t>
        </is>
      </c>
      <c r="AK1" s="28" t="inlineStr">
        <is>
          <t>path Y</t>
        </is>
      </c>
      <c r="AM1" s="28" t="inlineStr">
        <is>
          <t>bnd0 X</t>
        </is>
      </c>
      <c r="AN1" s="28" t="inlineStr">
        <is>
          <t>bnd0 Y</t>
        </is>
      </c>
      <c r="AP1" s="28" t="inlineStr">
        <is>
          <t>path X</t>
        </is>
      </c>
      <c r="AQ1" s="28" t="inlineStr">
        <is>
          <t>path Y</t>
        </is>
      </c>
      <c r="AS1" s="28" t="inlineStr">
        <is>
          <t>bnd0 X</t>
        </is>
      </c>
      <c r="AT1" s="28" t="inlineStr">
        <is>
          <t>bnd0 Y</t>
        </is>
      </c>
      <c r="AV1" s="28" t="inlineStr">
        <is>
          <t>path X</t>
        </is>
      </c>
      <c r="AW1" s="28" t="inlineStr">
        <is>
          <t>path Y</t>
        </is>
      </c>
    </row>
    <row r="2">
      <c r="AD2" t="n">
        <v>0.001</v>
      </c>
      <c r="AE2" t="n">
        <v>2</v>
      </c>
      <c r="AG2" t="n">
        <v>1.8</v>
      </c>
      <c r="AH2" t="n">
        <v>0.23</v>
      </c>
      <c r="AM2" t="n">
        <v>0.003</v>
      </c>
      <c r="AN2" t="n">
        <v>1</v>
      </c>
      <c r="AS2" t="n">
        <v>1.8</v>
      </c>
      <c r="AT2" t="n">
        <v>1</v>
      </c>
    </row>
    <row r="3">
      <c r="AD3" t="n">
        <v>1</v>
      </c>
      <c r="AE3" t="n">
        <v>0.3</v>
      </c>
      <c r="AG3" t="n">
        <v>1.8</v>
      </c>
      <c r="AH3" t="n">
        <v>1000</v>
      </c>
      <c r="AM3" t="n">
        <v>0.1</v>
      </c>
      <c r="AN3" t="n">
        <v>5.5</v>
      </c>
      <c r="AS3" t="n">
        <v>100</v>
      </c>
      <c r="AT3" t="n">
        <v>0.6</v>
      </c>
    </row>
    <row r="4">
      <c r="AD4" t="n">
        <v>10</v>
      </c>
      <c r="AE4" t="n">
        <v>0.04</v>
      </c>
      <c r="AM4" t="n">
        <v>4</v>
      </c>
      <c r="AN4" t="n">
        <v>5.5</v>
      </c>
      <c r="AS4" t="n">
        <v>10000</v>
      </c>
      <c r="AT4" t="n">
        <v>0.1</v>
      </c>
    </row>
    <row r="5">
      <c r="AD5" t="n">
        <v>200</v>
      </c>
      <c r="AE5" t="n">
        <v>0.001</v>
      </c>
      <c r="AM5" t="n">
        <v>60</v>
      </c>
      <c r="AN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D1:BF3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bnd6 X</t>
        </is>
      </c>
      <c r="AW1" s="28" t="inlineStr">
        <is>
          <t>bnd6 Y</t>
        </is>
      </c>
      <c r="AY1" s="28" t="inlineStr">
        <is>
          <t>bnd7 X</t>
        </is>
      </c>
      <c r="AZ1" s="28" t="inlineStr">
        <is>
          <t>bnd7 Y</t>
        </is>
      </c>
      <c r="BB1" s="28" t="inlineStr">
        <is>
          <t>bnd8 X</t>
        </is>
      </c>
      <c r="BC1" s="28" t="inlineStr">
        <is>
          <t>bnd8 Y</t>
        </is>
      </c>
      <c r="BE1" s="28" t="inlineStr">
        <is>
          <t>path X</t>
        </is>
      </c>
      <c r="BF1" s="28" t="inlineStr">
        <is>
          <t>path Y</t>
        </is>
      </c>
    </row>
    <row r="2">
      <c r="AD2" t="n">
        <v>0.01</v>
      </c>
      <c r="AE2" t="n">
        <v>0.16</v>
      </c>
      <c r="AG2" t="n">
        <v>0.01</v>
      </c>
      <c r="AH2" t="n">
        <v>4.5</v>
      </c>
      <c r="AJ2" t="n">
        <v>160</v>
      </c>
      <c r="AK2" t="n">
        <v>20</v>
      </c>
      <c r="AM2" t="n">
        <v>0.9</v>
      </c>
      <c r="AN2" t="n">
        <v>4.5</v>
      </c>
      <c r="AP2" t="n">
        <v>0.8</v>
      </c>
      <c r="AQ2" t="n">
        <v>0.3</v>
      </c>
      <c r="AS2" t="n">
        <v>2.5</v>
      </c>
      <c r="AT2" t="n">
        <v>0.11</v>
      </c>
      <c r="AV2" t="n">
        <v>2.5</v>
      </c>
      <c r="AW2" t="n">
        <v>0.11</v>
      </c>
      <c r="AY2" t="n">
        <v>15</v>
      </c>
      <c r="AZ2" t="n">
        <v>0.11</v>
      </c>
      <c r="BB2" t="n">
        <v>13</v>
      </c>
      <c r="BC2" t="n">
        <v>0.3</v>
      </c>
    </row>
    <row r="3">
      <c r="AD3" t="n">
        <v>1.6</v>
      </c>
      <c r="AE3" t="n">
        <v>0.16</v>
      </c>
      <c r="AG3" t="n">
        <v>66</v>
      </c>
      <c r="AH3" t="n">
        <v>4.5</v>
      </c>
      <c r="AJ3" t="n">
        <v>13</v>
      </c>
      <c r="AK3" t="n">
        <v>0.3</v>
      </c>
      <c r="AM3" t="n">
        <v>0.8</v>
      </c>
      <c r="AN3" t="n">
        <v>0.3</v>
      </c>
      <c r="AP3" t="n">
        <v>2.5</v>
      </c>
      <c r="AQ3" t="n">
        <v>0.11</v>
      </c>
      <c r="AS3" t="n">
        <v>8.5</v>
      </c>
      <c r="AT3" t="n">
        <v>0.01</v>
      </c>
      <c r="AV3" t="n">
        <v>15</v>
      </c>
      <c r="AW3" t="n">
        <v>0.11</v>
      </c>
      <c r="AY3" t="n">
        <v>20</v>
      </c>
      <c r="AZ3" t="n">
        <v>0.01</v>
      </c>
      <c r="BB3" t="n">
        <v>15</v>
      </c>
      <c r="BC3" t="n">
        <v>0.11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/>
  </sheetPr>
  <dimension ref="AD1:AN4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path X</t>
        </is>
      </c>
      <c r="AN1" s="28" t="inlineStr">
        <is>
          <t>path Y</t>
        </is>
      </c>
    </row>
    <row r="2">
      <c r="AD2" t="n">
        <v>10</v>
      </c>
      <c r="AE2" t="n">
        <v>0.22</v>
      </c>
      <c r="AG2" t="n">
        <v>1.7</v>
      </c>
      <c r="AH2" t="n">
        <v>0.01</v>
      </c>
      <c r="AJ2" t="n">
        <v>10</v>
      </c>
      <c r="AK2" t="n">
        <v>0.9</v>
      </c>
    </row>
    <row r="3">
      <c r="AD3" t="n">
        <v>0.52</v>
      </c>
      <c r="AE3" t="n">
        <v>0.22</v>
      </c>
      <c r="AG3" t="n">
        <v>0.2</v>
      </c>
      <c r="AH3" t="n">
        <v>1</v>
      </c>
      <c r="AJ3" t="n">
        <v>0.1</v>
      </c>
      <c r="AK3" t="n">
        <v>80</v>
      </c>
    </row>
    <row r="4">
      <c r="AG4" t="n">
        <v>0.001</v>
      </c>
      <c r="AH4" t="n">
        <v>51</v>
      </c>
      <c r="AJ4" t="n">
        <v>0.001</v>
      </c>
      <c r="AK4" t="n">
        <v>1500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375623"/>
    <outlinePr summaryBelow="1" summaryRight="1"/>
    <pageSetUpPr/>
  </sheetPr>
  <dimension ref="AD1:BF4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bnd6 X</t>
        </is>
      </c>
      <c r="AW1" s="28" t="inlineStr">
        <is>
          <t>bnd6 Y</t>
        </is>
      </c>
      <c r="AY1" s="28" t="inlineStr">
        <is>
          <t>bnd7 X</t>
        </is>
      </c>
      <c r="AZ1" s="28" t="inlineStr">
        <is>
          <t>bnd7 Y</t>
        </is>
      </c>
      <c r="BB1" s="28" t="inlineStr">
        <is>
          <t>bnd8 X</t>
        </is>
      </c>
      <c r="BC1" s="28" t="inlineStr">
        <is>
          <t>bnd8 Y</t>
        </is>
      </c>
      <c r="BE1" s="28" t="inlineStr">
        <is>
          <t>path X</t>
        </is>
      </c>
      <c r="BF1" s="28" t="inlineStr">
        <is>
          <t>path Y</t>
        </is>
      </c>
    </row>
    <row r="2">
      <c r="AD2" t="n">
        <v>0.001</v>
      </c>
      <c r="AE2" t="n">
        <v>0.1</v>
      </c>
      <c r="AG2" t="n">
        <v>0.001</v>
      </c>
      <c r="AH2" t="n">
        <v>0.1</v>
      </c>
      <c r="AJ2" t="n">
        <v>0.3</v>
      </c>
      <c r="AK2" t="n">
        <v>0.6</v>
      </c>
      <c r="AM2" t="n">
        <v>2</v>
      </c>
      <c r="AN2" t="n">
        <v>0.09</v>
      </c>
      <c r="AP2" t="n">
        <v>1</v>
      </c>
      <c r="AQ2" t="n">
        <v>1e-05</v>
      </c>
      <c r="AS2" t="n">
        <v>0.001</v>
      </c>
      <c r="AT2" t="n">
        <v>2.187761623949552</v>
      </c>
      <c r="AV2" t="n">
        <v>0.2</v>
      </c>
      <c r="AW2" t="n">
        <v>12</v>
      </c>
      <c r="AY2" t="n">
        <v>0.3</v>
      </c>
      <c r="AZ2" t="n">
        <v>0.6</v>
      </c>
      <c r="BB2" t="n">
        <v>3.5</v>
      </c>
      <c r="BC2" t="n">
        <v>18</v>
      </c>
    </row>
    <row r="3">
      <c r="AD3" t="n">
        <v>0.03</v>
      </c>
      <c r="AE3" t="n">
        <v>0.04</v>
      </c>
      <c r="AG3" t="n">
        <v>0.3</v>
      </c>
      <c r="AH3" t="n">
        <v>0.6</v>
      </c>
      <c r="AJ3" t="n">
        <v>2</v>
      </c>
      <c r="AK3" t="n">
        <v>0.09</v>
      </c>
      <c r="AM3" t="n">
        <v>6</v>
      </c>
      <c r="AN3" t="n">
        <v>6.999999999999999e-05</v>
      </c>
      <c r="AP3" t="n">
        <v>150</v>
      </c>
      <c r="AQ3" t="n">
        <v>0.002</v>
      </c>
      <c r="AS3" t="n">
        <v>0.2</v>
      </c>
      <c r="AT3" t="n">
        <v>12</v>
      </c>
      <c r="AV3" t="n">
        <v>3.5</v>
      </c>
      <c r="AW3" t="n">
        <v>18</v>
      </c>
      <c r="AY3" t="n">
        <v>3.5</v>
      </c>
      <c r="AZ3" t="n">
        <v>18</v>
      </c>
      <c r="BB3" t="n">
        <v>10</v>
      </c>
      <c r="BC3" t="n">
        <v>50</v>
      </c>
    </row>
    <row r="4">
      <c r="AD4" t="n">
        <v>0.08</v>
      </c>
      <c r="AE4" t="n">
        <v>1e-05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/>
  </sheetPr>
  <dimension ref="AD1:BO3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bnd6 X</t>
        </is>
      </c>
      <c r="AW1" s="28" t="inlineStr">
        <is>
          <t>bnd6 Y</t>
        </is>
      </c>
      <c r="AY1" s="28" t="inlineStr">
        <is>
          <t>bnd7 X</t>
        </is>
      </c>
      <c r="AZ1" s="28" t="inlineStr">
        <is>
          <t>bnd7 Y</t>
        </is>
      </c>
      <c r="BB1" s="28" t="inlineStr">
        <is>
          <t>bnd8 X</t>
        </is>
      </c>
      <c r="BC1" s="28" t="inlineStr">
        <is>
          <t>bnd8 Y</t>
        </is>
      </c>
      <c r="BE1" s="28" t="inlineStr">
        <is>
          <t>bnd9 X</t>
        </is>
      </c>
      <c r="BF1" s="28" t="inlineStr">
        <is>
          <t>bnd9 Y</t>
        </is>
      </c>
      <c r="BH1" s="28" t="inlineStr">
        <is>
          <t>bnd10 X</t>
        </is>
      </c>
      <c r="BI1" s="28" t="inlineStr">
        <is>
          <t>bnd10 Y</t>
        </is>
      </c>
      <c r="BK1" s="28" t="inlineStr">
        <is>
          <t>bnd11 X</t>
        </is>
      </c>
      <c r="BL1" s="28" t="inlineStr">
        <is>
          <t>bnd11 Y</t>
        </is>
      </c>
      <c r="BN1" s="28" t="inlineStr">
        <is>
          <t>path X</t>
        </is>
      </c>
      <c r="BO1" s="28" t="inlineStr">
        <is>
          <t>path Y</t>
        </is>
      </c>
    </row>
    <row r="2">
      <c r="AD2" t="n">
        <v>0.0001</v>
      </c>
      <c r="AE2" t="n">
        <v>0.7</v>
      </c>
      <c r="AG2" t="n">
        <v>0.0001</v>
      </c>
      <c r="AH2" t="n">
        <v>0.3</v>
      </c>
      <c r="AJ2" t="n">
        <v>0.0001</v>
      </c>
      <c r="AK2" t="n">
        <v>0.1</v>
      </c>
      <c r="AM2" t="n">
        <v>0.01</v>
      </c>
      <c r="AN2" t="n">
        <v>0.04</v>
      </c>
      <c r="AP2" t="n">
        <v>0.06</v>
      </c>
      <c r="AQ2" t="n">
        <v>0.04</v>
      </c>
      <c r="AS2" t="n">
        <v>0.1</v>
      </c>
      <c r="AT2" t="n">
        <v>0.04</v>
      </c>
      <c r="AV2" t="n">
        <v>0.06</v>
      </c>
      <c r="AW2" t="n">
        <v>0.1</v>
      </c>
      <c r="AY2" t="n">
        <v>0.1</v>
      </c>
      <c r="AZ2" t="n">
        <v>0.1</v>
      </c>
      <c r="BB2" t="n">
        <v>0.005</v>
      </c>
      <c r="BC2" t="n">
        <v>0.3</v>
      </c>
      <c r="BE2" t="n">
        <v>0.015</v>
      </c>
      <c r="BF2" t="n">
        <v>0.3</v>
      </c>
      <c r="BH2" t="n">
        <v>0.3</v>
      </c>
      <c r="BI2" t="n">
        <v>3</v>
      </c>
      <c r="BK2" t="n">
        <v>0.5</v>
      </c>
      <c r="BL2" t="n">
        <v>3.2</v>
      </c>
    </row>
    <row r="3">
      <c r="AD3" t="n">
        <v>1</v>
      </c>
      <c r="AE3" t="n">
        <v>0.7</v>
      </c>
      <c r="AG3" t="n">
        <v>0.5</v>
      </c>
      <c r="AH3" t="n">
        <v>0.3</v>
      </c>
      <c r="AJ3" t="n">
        <v>0.1</v>
      </c>
      <c r="AK3" t="n">
        <v>0.1</v>
      </c>
      <c r="AM3" t="n">
        <v>0.01</v>
      </c>
      <c r="AN3" t="n">
        <v>0.1</v>
      </c>
      <c r="AP3" t="n">
        <v>0.06</v>
      </c>
      <c r="AQ3" t="n">
        <v>0.1</v>
      </c>
      <c r="AS3" t="n">
        <v>0.1</v>
      </c>
      <c r="AT3" t="n">
        <v>0.1</v>
      </c>
      <c r="AV3" t="n">
        <v>0.9</v>
      </c>
      <c r="AW3" t="n">
        <v>0.7</v>
      </c>
      <c r="AY3" t="n">
        <v>1</v>
      </c>
      <c r="AZ3" t="n">
        <v>0.5</v>
      </c>
      <c r="BB3" t="n">
        <v>0.3</v>
      </c>
      <c r="BC3" t="n">
        <v>3</v>
      </c>
      <c r="BE3" t="n">
        <v>0.5</v>
      </c>
      <c r="BF3" t="n">
        <v>3.2</v>
      </c>
      <c r="BH3" t="n">
        <v>1</v>
      </c>
      <c r="BI3" t="n">
        <v>9</v>
      </c>
      <c r="BK3" t="n">
        <v>1</v>
      </c>
      <c r="BL3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375623"/>
    <outlinePr summaryBelow="1" summaryRight="1"/>
    <pageSetUpPr/>
  </sheetPr>
  <dimension ref="AD1:AZ4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bnd6 X</t>
        </is>
      </c>
      <c r="AW1" s="28" t="inlineStr">
        <is>
          <t>bnd6 Y</t>
        </is>
      </c>
      <c r="AY1" s="28" t="inlineStr">
        <is>
          <t>path X</t>
        </is>
      </c>
      <c r="AZ1" s="28" t="inlineStr">
        <is>
          <t>path Y</t>
        </is>
      </c>
    </row>
    <row r="2">
      <c r="AD2" t="n">
        <v>1</v>
      </c>
      <c r="AE2" t="n">
        <v>9</v>
      </c>
      <c r="AG2" t="n">
        <v>10</v>
      </c>
      <c r="AH2" t="n">
        <v>100</v>
      </c>
      <c r="AJ2" t="n">
        <v>120</v>
      </c>
      <c r="AK2" t="n">
        <v>1.2</v>
      </c>
      <c r="AM2" t="n">
        <v>3000</v>
      </c>
      <c r="AN2" t="n">
        <v>0.1</v>
      </c>
      <c r="AP2" t="n">
        <v>2000</v>
      </c>
      <c r="AQ2" t="n">
        <v>5</v>
      </c>
      <c r="AS2" t="n">
        <v>3083.187950249353</v>
      </c>
      <c r="AT2" t="n">
        <v>22</v>
      </c>
      <c r="AV2" t="n">
        <v>26</v>
      </c>
      <c r="AW2" t="n">
        <v>15</v>
      </c>
    </row>
    <row r="3">
      <c r="AD3" t="n">
        <v>50</v>
      </c>
      <c r="AE3" t="n">
        <v>4</v>
      </c>
      <c r="AG3" t="n">
        <v>50</v>
      </c>
      <c r="AH3" t="n">
        <v>4</v>
      </c>
      <c r="AJ3" t="n">
        <v>2500</v>
      </c>
      <c r="AK3" t="n">
        <v>0.5</v>
      </c>
      <c r="AM3" t="n">
        <v>2000</v>
      </c>
      <c r="AN3" t="n">
        <v>5</v>
      </c>
      <c r="AP3" t="n">
        <v>3083.187950249353</v>
      </c>
      <c r="AQ3" t="n">
        <v>22</v>
      </c>
      <c r="AS3" t="n">
        <v>500</v>
      </c>
      <c r="AT3" t="n">
        <v>7</v>
      </c>
      <c r="AV3" t="n">
        <v>120</v>
      </c>
      <c r="AW3" t="n">
        <v>6</v>
      </c>
    </row>
    <row r="4">
      <c r="AD4" t="n">
        <v>300</v>
      </c>
      <c r="AE4" t="n">
        <v>0.1</v>
      </c>
      <c r="AP4" t="n">
        <v>15000</v>
      </c>
      <c r="AQ4" t="n">
        <v>100</v>
      </c>
      <c r="AV4" t="n">
        <v>500</v>
      </c>
      <c r="AW4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375623"/>
    <outlinePr summaryBelow="1" summaryRight="1"/>
    <pageSetUpPr/>
  </sheetPr>
  <dimension ref="AD1:AW3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path X</t>
        </is>
      </c>
      <c r="AW1" s="28" t="inlineStr">
        <is>
          <t>path Y</t>
        </is>
      </c>
    </row>
    <row r="2">
      <c r="AD2" t="n">
        <v>0.12</v>
      </c>
      <c r="AE2" t="n">
        <v>0.01</v>
      </c>
      <c r="AG2" t="n">
        <v>2.5</v>
      </c>
      <c r="AH2" t="n">
        <v>0.01</v>
      </c>
      <c r="AJ2" t="n">
        <v>2.5</v>
      </c>
      <c r="AK2" t="n">
        <v>0.22</v>
      </c>
      <c r="AM2" t="n">
        <v>8</v>
      </c>
      <c r="AN2" t="n">
        <v>1.2</v>
      </c>
      <c r="AP2" t="n">
        <v>8</v>
      </c>
      <c r="AQ2" t="n">
        <v>1.2</v>
      </c>
      <c r="AS2" t="n">
        <v>0.01</v>
      </c>
      <c r="AT2" t="n">
        <v>20</v>
      </c>
    </row>
    <row r="3">
      <c r="AD3" t="n">
        <v>0.8</v>
      </c>
      <c r="AE3" t="n">
        <v>20</v>
      </c>
      <c r="AG3" t="n">
        <v>2.5</v>
      </c>
      <c r="AH3" t="n">
        <v>0.22</v>
      </c>
      <c r="AJ3" t="n">
        <v>8</v>
      </c>
      <c r="AK3" t="n">
        <v>1.2</v>
      </c>
      <c r="AM3" t="n">
        <v>8</v>
      </c>
      <c r="AN3" t="n">
        <v>20</v>
      </c>
      <c r="AP3" t="n">
        <v>28</v>
      </c>
      <c r="AQ3" t="n">
        <v>0.01</v>
      </c>
      <c r="AS3" t="n">
        <v>10000</v>
      </c>
      <c r="AT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375623"/>
    <outlinePr summaryBelow="1" summaryRight="1"/>
    <pageSetUpPr/>
  </sheetPr>
  <dimension ref="AD1:AW3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path X</t>
        </is>
      </c>
      <c r="AW1" s="28" t="inlineStr">
        <is>
          <t>path Y</t>
        </is>
      </c>
    </row>
    <row r="2">
      <c r="AD2" t="n">
        <v>0.004</v>
      </c>
      <c r="AE2" t="n">
        <v>1e-05</v>
      </c>
      <c r="AG2" t="n">
        <v>0.004</v>
      </c>
      <c r="AH2" t="n">
        <v>0.04</v>
      </c>
      <c r="AJ2" t="n">
        <v>0.2</v>
      </c>
      <c r="AK2" t="n">
        <v>1e-05</v>
      </c>
      <c r="AM2" t="n">
        <v>0.2</v>
      </c>
      <c r="AN2" t="n">
        <v>6</v>
      </c>
      <c r="AP2" t="n">
        <v>0.2</v>
      </c>
      <c r="AQ2" t="n">
        <v>1.5</v>
      </c>
      <c r="AS2" t="n">
        <v>1</v>
      </c>
      <c r="AT2" t="n">
        <v>1e-05</v>
      </c>
    </row>
    <row r="3">
      <c r="AD3" t="n">
        <v>0.004</v>
      </c>
      <c r="AE3" t="n">
        <v>0.04</v>
      </c>
      <c r="AG3" t="n">
        <v>0.2</v>
      </c>
      <c r="AH3" t="n">
        <v>6</v>
      </c>
      <c r="AJ3" t="n">
        <v>0.2</v>
      </c>
      <c r="AK3" t="n">
        <v>1.5</v>
      </c>
      <c r="AM3" t="n">
        <v>0.8</v>
      </c>
      <c r="AN3" t="n">
        <v>6</v>
      </c>
      <c r="AP3" t="n">
        <v>9</v>
      </c>
      <c r="AQ3" t="n">
        <v>60</v>
      </c>
      <c r="AS3" t="n">
        <v>40</v>
      </c>
      <c r="AT3" t="n">
        <v>0.0005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375623"/>
    <outlinePr summaryBelow="1" summaryRight="1"/>
    <pageSetUpPr/>
  </sheetPr>
  <dimension ref="AD1:AZ4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bnd6 X</t>
        </is>
      </c>
      <c r="AW1" s="28" t="inlineStr">
        <is>
          <t>bnd6 Y</t>
        </is>
      </c>
      <c r="AY1" s="28" t="inlineStr">
        <is>
          <t>path X</t>
        </is>
      </c>
      <c r="AZ1" s="28" t="inlineStr">
        <is>
          <t>path Y</t>
        </is>
      </c>
    </row>
    <row r="2">
      <c r="AD2" t="n">
        <v>10</v>
      </c>
      <c r="AE2" t="n">
        <v>0.9</v>
      </c>
      <c r="AG2" t="n">
        <v>3</v>
      </c>
      <c r="AH2" t="n">
        <v>2</v>
      </c>
      <c r="AJ2" t="n">
        <v>0.11</v>
      </c>
      <c r="AK2" t="n">
        <v>0.01</v>
      </c>
      <c r="AM2" t="n">
        <v>0.09</v>
      </c>
      <c r="AN2" t="n">
        <v>0.01</v>
      </c>
      <c r="AP2" t="n">
        <v>2</v>
      </c>
      <c r="AQ2" t="n">
        <v>4</v>
      </c>
      <c r="AS2" t="n">
        <v>0.045</v>
      </c>
      <c r="AT2" t="n">
        <v>16</v>
      </c>
      <c r="AV2" t="n">
        <v>0.3</v>
      </c>
      <c r="AW2" t="n">
        <v>10</v>
      </c>
    </row>
    <row r="3">
      <c r="AD3" t="n">
        <v>3</v>
      </c>
      <c r="AE3" t="n">
        <v>0.26</v>
      </c>
      <c r="AG3" t="n">
        <v>2</v>
      </c>
      <c r="AH3" t="n">
        <v>1</v>
      </c>
      <c r="AJ3" t="n">
        <v>0.08</v>
      </c>
      <c r="AK3" t="n">
        <v>2</v>
      </c>
      <c r="AM3" t="n">
        <v>0.04</v>
      </c>
      <c r="AN3" t="n">
        <v>3.8</v>
      </c>
      <c r="AP3" t="n">
        <v>0.6</v>
      </c>
      <c r="AQ3" t="n">
        <v>6</v>
      </c>
      <c r="AS3" t="n">
        <v>0.02</v>
      </c>
      <c r="AT3" t="n">
        <v>13</v>
      </c>
      <c r="AV3" t="n">
        <v>0.2</v>
      </c>
      <c r="AW3" t="n">
        <v>12</v>
      </c>
    </row>
    <row r="4">
      <c r="AD4" t="n">
        <v>1.8</v>
      </c>
      <c r="AE4" t="n">
        <v>0.01</v>
      </c>
      <c r="AG4" t="n">
        <v>0.9</v>
      </c>
      <c r="AH4" t="n">
        <v>0.01</v>
      </c>
      <c r="AJ4" t="n">
        <v>0.045</v>
      </c>
      <c r="AK4" t="n">
        <v>16</v>
      </c>
      <c r="AM4" t="n">
        <v>0.02</v>
      </c>
      <c r="AN4" t="n">
        <v>13</v>
      </c>
      <c r="AP4" t="n">
        <v>0.3</v>
      </c>
      <c r="AQ4" t="n">
        <v>10</v>
      </c>
      <c r="AS4" t="n">
        <v>0.004</v>
      </c>
      <c r="AT4" t="n">
        <v>2</v>
      </c>
      <c r="AV4" t="n">
        <v>0.045</v>
      </c>
      <c r="AW4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375623"/>
    <outlinePr summaryBelow="1" summaryRight="1"/>
    <pageSetUpPr/>
  </sheetPr>
  <dimension ref="AD1:AN3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path X</t>
        </is>
      </c>
      <c r="AN1" s="28" t="inlineStr">
        <is>
          <t>path Y</t>
        </is>
      </c>
    </row>
    <row r="2">
      <c r="AD2" t="n">
        <v>0.18</v>
      </c>
      <c r="AE2" t="n">
        <v>1000</v>
      </c>
      <c r="AG2" t="n">
        <v>0.55</v>
      </c>
      <c r="AH2" t="n">
        <v>1000</v>
      </c>
      <c r="AJ2" t="n">
        <v>3</v>
      </c>
      <c r="AK2" t="n">
        <v>1000</v>
      </c>
    </row>
    <row r="3">
      <c r="AD3" t="n">
        <v>3</v>
      </c>
      <c r="AE3" t="n">
        <v>10</v>
      </c>
      <c r="AG3" t="n">
        <v>19</v>
      </c>
      <c r="AH3" t="n">
        <v>10</v>
      </c>
      <c r="AJ3" t="n">
        <v>100</v>
      </c>
      <c r="AK3" t="n">
        <v>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375623"/>
    <outlinePr summaryBelow="1" summaryRight="1"/>
    <pageSetUpPr/>
  </sheetPr>
  <dimension ref="AD1:AW4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path X</t>
        </is>
      </c>
      <c r="AW1" s="28" t="inlineStr">
        <is>
          <t>path Y</t>
        </is>
      </c>
    </row>
    <row r="2">
      <c r="AD2" t="n">
        <v>1</v>
      </c>
      <c r="AE2" t="n">
        <v>140</v>
      </c>
      <c r="AG2" t="n">
        <v>6000</v>
      </c>
      <c r="AH2" t="n">
        <v>10</v>
      </c>
      <c r="AJ2" t="n">
        <v>6000</v>
      </c>
      <c r="AK2" t="n">
        <v>10</v>
      </c>
      <c r="AM2" t="n">
        <v>10</v>
      </c>
      <c r="AN2" t="n">
        <v>0.3</v>
      </c>
      <c r="AP2" t="n">
        <v>1000</v>
      </c>
      <c r="AQ2" t="n">
        <v>100</v>
      </c>
      <c r="AS2" t="n">
        <v>1000</v>
      </c>
      <c r="AT2" t="n">
        <v>1000</v>
      </c>
    </row>
    <row r="3">
      <c r="AD3" t="n">
        <v>10</v>
      </c>
      <c r="AE3" t="n">
        <v>110</v>
      </c>
      <c r="AG3" t="n">
        <v>6000</v>
      </c>
      <c r="AH3" t="n">
        <v>100</v>
      </c>
      <c r="AJ3" t="n">
        <v>10000</v>
      </c>
      <c r="AK3" t="n">
        <v>2</v>
      </c>
      <c r="AM3" t="n">
        <v>100</v>
      </c>
      <c r="AN3" t="n">
        <v>21.87761623949553</v>
      </c>
      <c r="AP3" t="n">
        <v>1000</v>
      </c>
      <c r="AQ3" t="n">
        <v>1000</v>
      </c>
      <c r="AS3" t="n">
        <v>2000</v>
      </c>
      <c r="AT3" t="n">
        <v>4168.693834703358</v>
      </c>
    </row>
    <row r="4">
      <c r="AD4" t="n">
        <v>100000</v>
      </c>
      <c r="AE4" t="n">
        <v>100</v>
      </c>
      <c r="AJ4" t="n">
        <v>30000</v>
      </c>
      <c r="AK4" t="n">
        <v>1</v>
      </c>
      <c r="AM4" t="n">
        <v>6000</v>
      </c>
      <c r="AN4" t="n">
        <v>70</v>
      </c>
      <c r="AS4" t="n">
        <v>6000</v>
      </c>
      <c r="AT4" t="n">
        <v>10000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375623"/>
    <outlinePr summaryBelow="1" summaryRight="1"/>
    <pageSetUpPr/>
  </sheetPr>
  <dimension ref="AD1:AW4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path X</t>
        </is>
      </c>
      <c r="AW1" s="28" t="inlineStr">
        <is>
          <t>path Y</t>
        </is>
      </c>
    </row>
    <row r="2">
      <c r="AD2" t="n">
        <v>0.11</v>
      </c>
      <c r="AE2" t="n">
        <v>1.2</v>
      </c>
      <c r="AG2" t="n">
        <v>0.8</v>
      </c>
      <c r="AH2" t="n">
        <v>1.5</v>
      </c>
      <c r="AJ2" t="n">
        <v>0.4</v>
      </c>
      <c r="AK2" t="n">
        <v>0.18</v>
      </c>
      <c r="AM2" t="n">
        <v>5</v>
      </c>
      <c r="AN2" t="n">
        <v>18</v>
      </c>
      <c r="AP2" t="n">
        <v>19</v>
      </c>
      <c r="AQ2" t="n">
        <v>25</v>
      </c>
      <c r="AS2" t="n">
        <v>150</v>
      </c>
      <c r="AT2" t="n">
        <v>30</v>
      </c>
    </row>
    <row r="3">
      <c r="AD3" t="n">
        <v>0.8</v>
      </c>
      <c r="AE3" t="n">
        <v>1.5</v>
      </c>
      <c r="AG3" t="n">
        <v>3</v>
      </c>
      <c r="AH3" t="n">
        <v>1.2</v>
      </c>
      <c r="AJ3" t="n">
        <v>7</v>
      </c>
      <c r="AK3" t="n">
        <v>0.5</v>
      </c>
      <c r="AM3" t="n">
        <v>10</v>
      </c>
      <c r="AN3" t="n">
        <v>2</v>
      </c>
      <c r="AP3" t="n">
        <v>100</v>
      </c>
      <c r="AQ3" t="n">
        <v>8</v>
      </c>
      <c r="AS3" t="n">
        <v>1500</v>
      </c>
      <c r="AT3" t="n">
        <v>4</v>
      </c>
    </row>
    <row r="4">
      <c r="AG4" t="n">
        <v>7</v>
      </c>
      <c r="AH4" t="n">
        <v>0.5</v>
      </c>
      <c r="AJ4" t="n">
        <v>30</v>
      </c>
      <c r="AK4" t="n">
        <v>0.6</v>
      </c>
      <c r="AM4" t="n">
        <v>30</v>
      </c>
      <c r="AN4" t="n">
        <v>0.6</v>
      </c>
      <c r="AP4" t="n">
        <v>280</v>
      </c>
      <c r="AQ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375623"/>
    <outlinePr summaryBelow="1" summaryRight="1"/>
    <pageSetUpPr/>
  </sheetPr>
  <dimension ref="AD1:AK3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path X</t>
        </is>
      </c>
      <c r="AK1" s="28" t="inlineStr">
        <is>
          <t>path Y</t>
        </is>
      </c>
    </row>
    <row r="2">
      <c r="AD2" t="n">
        <v>0.2</v>
      </c>
      <c r="AE2" t="n">
        <v>0</v>
      </c>
      <c r="AG2" t="n">
        <v>0.4</v>
      </c>
      <c r="AH2" t="n">
        <v>0</v>
      </c>
    </row>
    <row r="3">
      <c r="AD3" t="n">
        <v>1.8</v>
      </c>
      <c r="AE3" t="n">
        <v>2</v>
      </c>
      <c r="AG3" t="n">
        <v>2</v>
      </c>
      <c r="AH3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00375623"/>
    <outlinePr summaryBelow="1" summaryRight="1"/>
    <pageSetUpPr/>
  </sheetPr>
  <dimension ref="AD1:AZ4"/>
  <sheetViews>
    <sheetView showGridLines="0" workbookViewId="0">
      <selection activeCell="A1" sqref="A1"/>
    </sheetView>
  </sheetViews>
  <sheetFormatPr baseColWidth="8" defaultRowHeight="15"/>
  <sheetData>
    <row r="1">
      <c r="AD1" s="28" t="inlineStr">
        <is>
          <t>bnd0 X</t>
        </is>
      </c>
      <c r="AE1" s="28" t="inlineStr">
        <is>
          <t>bnd0 Y</t>
        </is>
      </c>
      <c r="AG1" s="28" t="inlineStr">
        <is>
          <t>bnd1 X</t>
        </is>
      </c>
      <c r="AH1" s="28" t="inlineStr">
        <is>
          <t>bnd1 Y</t>
        </is>
      </c>
      <c r="AJ1" s="28" t="inlineStr">
        <is>
          <t>bnd2 X</t>
        </is>
      </c>
      <c r="AK1" s="28" t="inlineStr">
        <is>
          <t>bnd2 Y</t>
        </is>
      </c>
      <c r="AM1" s="28" t="inlineStr">
        <is>
          <t>bnd3 X</t>
        </is>
      </c>
      <c r="AN1" s="28" t="inlineStr">
        <is>
          <t>bnd3 Y</t>
        </is>
      </c>
      <c r="AP1" s="28" t="inlineStr">
        <is>
          <t>bnd4 X</t>
        </is>
      </c>
      <c r="AQ1" s="28" t="inlineStr">
        <is>
          <t>bnd4 Y</t>
        </is>
      </c>
      <c r="AS1" s="28" t="inlineStr">
        <is>
          <t>bnd5 X</t>
        </is>
      </c>
      <c r="AT1" s="28" t="inlineStr">
        <is>
          <t>bnd5 Y</t>
        </is>
      </c>
      <c r="AV1" s="28" t="inlineStr">
        <is>
          <t>bnd6 X</t>
        </is>
      </c>
      <c r="AW1" s="28" t="inlineStr">
        <is>
          <t>bnd6 Y</t>
        </is>
      </c>
      <c r="AY1" s="28" t="inlineStr">
        <is>
          <t>path X</t>
        </is>
      </c>
      <c r="AZ1" s="28" t="inlineStr">
        <is>
          <t>path Y</t>
        </is>
      </c>
    </row>
    <row r="2">
      <c r="AD2" t="n">
        <v>1.8</v>
      </c>
      <c r="AE2" t="n">
        <v>0.3</v>
      </c>
      <c r="AG2" t="n">
        <v>0.38</v>
      </c>
      <c r="AH2" t="n">
        <v>1.5</v>
      </c>
      <c r="AJ2" t="n">
        <v>28</v>
      </c>
      <c r="AK2" t="n">
        <v>25</v>
      </c>
      <c r="AM2" t="n">
        <v>400</v>
      </c>
      <c r="AN2" t="n">
        <v>5.8</v>
      </c>
      <c r="AP2" t="n">
        <v>7</v>
      </c>
      <c r="AQ2" t="n">
        <v>1.9</v>
      </c>
      <c r="AS2" t="n">
        <v>18</v>
      </c>
      <c r="AT2" t="n">
        <v>1.2</v>
      </c>
      <c r="AV2" t="n">
        <v>30</v>
      </c>
      <c r="AW2" t="n">
        <v>2.2</v>
      </c>
    </row>
    <row r="3">
      <c r="AD3" t="n">
        <v>7</v>
      </c>
      <c r="AE3" t="n">
        <v>0.5</v>
      </c>
      <c r="AG3" t="n">
        <v>7</v>
      </c>
      <c r="AH3" t="n">
        <v>1.9</v>
      </c>
      <c r="AJ3" t="n">
        <v>45</v>
      </c>
      <c r="AK3" t="n">
        <v>17</v>
      </c>
      <c r="AM3" t="n">
        <v>1000</v>
      </c>
      <c r="AN3" t="n">
        <v>5</v>
      </c>
      <c r="AP3" t="n">
        <v>5.942921586155727</v>
      </c>
      <c r="AQ3" t="n">
        <v>6.854882264526617</v>
      </c>
      <c r="AS3" t="n">
        <v>30</v>
      </c>
      <c r="AT3" t="n">
        <v>2.2</v>
      </c>
      <c r="AV3" t="n">
        <v>100</v>
      </c>
      <c r="AW3" t="n">
        <v>3</v>
      </c>
    </row>
    <row r="4">
      <c r="AD4" t="n">
        <v>35</v>
      </c>
      <c r="AE4" t="n">
        <v>0.58</v>
      </c>
      <c r="AG4" t="n">
        <v>40</v>
      </c>
      <c r="AH4" t="n">
        <v>0.7</v>
      </c>
      <c r="AJ4" t="n">
        <v>400</v>
      </c>
      <c r="AK4" t="n">
        <v>5.8</v>
      </c>
      <c r="AP4" t="n">
        <v>45</v>
      </c>
      <c r="AQ4" t="n">
        <v>17</v>
      </c>
      <c r="AV4" t="n">
        <v>400</v>
      </c>
      <c r="AW4" t="n">
        <v>5.8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002E75B6"/>
    <outlinePr summaryBelow="1" summaryRight="1"/>
    <pageSetUpPr/>
  </sheetPr>
  <dimension ref="A1:X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28" customWidth="1" min="4" max="4"/>
    <col width="12" customWidth="1" min="5" max="5"/>
    <col width="10" customWidth="1" min="6" max="6"/>
    <col width="10" customWidth="1" min="7" max="7"/>
    <col width="12" customWidth="1" min="8" max="8"/>
    <col width="11" customWidth="1" min="9" max="9"/>
    <col width="14" customWidth="1" min="10" max="10"/>
    <col width="10" customWidth="1" min="11" max="11"/>
    <col width="12" customWidth="1" min="12" max="12"/>
    <col width="10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14" customWidth="1" min="19" max="19"/>
    <col width="16" customWidth="1" min="20" max="20"/>
    <col width="10" customWidth="1" min="21" max="21"/>
    <col width="10" customWidth="1" min="22" max="22"/>
    <col width="9" customWidth="1" min="23" max="23"/>
    <col width="9" customWidth="1" min="24" max="24"/>
  </cols>
  <sheetData>
    <row r="1" ht="20" customHeight="1">
      <c r="A1" s="1" t="inlineStr">
        <is>
          <t>CIRCUIT:  C2   |   ISO: (manual — no ISO)   |   Lines: H-285   |   Stream: (manual)</t>
        </is>
      </c>
    </row>
    <row r="2" ht="16" customHeight="1">
      <c r="A2" s="29" t="inlineStr">
        <is>
          <t>Start P: 551.5806 kPa   |   Flash mode: isothermal   |   Components: 2 Main  /  0 Branch  |  1 line(s)</t>
        </is>
      </c>
    </row>
    <row r="3" ht="16" customHeight="1">
      <c r="A3" s="27" t="inlineStr">
        <is>
          <t>HMB: HMB.xlsx   |   Unit: HMB   |   Case: —   |   Desc: —   |   Issued: —</t>
        </is>
      </c>
    </row>
    <row r="4" ht="30" customHeight="1">
      <c r="A4" s="2" t="inlineStr">
        <is>
          <t>Seq</t>
        </is>
      </c>
      <c r="B4" s="2" t="inlineStr">
        <is>
          <t>Comp ID</t>
        </is>
      </c>
      <c r="C4" s="2" t="inlineStr">
        <is>
          <t>Run Type</t>
        </is>
      </c>
      <c r="D4" s="2" t="inlineStr">
        <is>
          <t>Fitting Name</t>
        </is>
      </c>
      <c r="E4" s="2" t="inlineStr">
        <is>
          <t>Tag</t>
        </is>
      </c>
      <c r="F4" s="2" t="inlineStr">
        <is>
          <t>Bore In (in)</t>
        </is>
      </c>
      <c r="G4" s="2" t="inlineStr">
        <is>
          <t>Bore Out (in)</t>
        </is>
      </c>
      <c r="H4" s="2" t="inlineStr">
        <is>
          <t>Piping Spec</t>
        </is>
      </c>
      <c r="I4" s="2" t="inlineStr">
        <is>
          <t>Length (m)</t>
        </is>
      </c>
      <c r="J4" s="2" t="inlineStr">
        <is>
          <t>Elev Change (m)</t>
        </is>
      </c>
      <c r="K4" s="2" t="inlineStr">
        <is>
          <t>Direction</t>
        </is>
      </c>
      <c r="L4" s="2" t="inlineStr">
        <is>
          <t>Start P (kPa)</t>
        </is>
      </c>
      <c r="M4" s="2" t="inlineStr">
        <is>
          <t>Fixed K</t>
        </is>
      </c>
      <c r="N4" s="2" t="inlineStr">
        <is>
          <t>Fixed dP (kPa)</t>
        </is>
      </c>
      <c r="O4" s="2" t="inlineStr">
        <is>
          <t>Instr Type</t>
        </is>
      </c>
      <c r="P4" s="2" t="inlineStr">
        <is>
          <t>Instr Tag</t>
        </is>
      </c>
      <c r="Q4" s="2" t="inlineStr">
        <is>
          <t>Instr dP (kPa)</t>
        </is>
      </c>
      <c r="R4" s="2" t="inlineStr">
        <is>
          <t>Notes</t>
        </is>
      </c>
      <c r="S4" s="2" t="inlineStr">
        <is>
          <t>Stream</t>
        </is>
      </c>
      <c r="T4" s="2" t="inlineStr">
        <is>
          <t>HMB File</t>
        </is>
      </c>
      <c r="U4" s="2" t="inlineStr">
        <is>
          <t>Case</t>
        </is>
      </c>
      <c r="V4" s="2" t="inlineStr">
        <is>
          <t>Flow Frac</t>
        </is>
      </c>
      <c r="W4" s="2" t="inlineStr">
        <is>
          <t>Mass Vap CF</t>
        </is>
      </c>
      <c r="X4" s="2" t="inlineStr">
        <is>
          <t>Mass Liq CF</t>
        </is>
      </c>
    </row>
    <row r="5" ht="13" customHeight="1">
      <c r="A5" s="30" t="inlineStr">
        <is>
          <t xml:space="preserve">  ▶  LINE: H-285</t>
        </is>
      </c>
    </row>
    <row r="6">
      <c r="A6" s="4" t="n">
        <v>1</v>
      </c>
      <c r="B6" s="5" t="inlineStr">
        <is>
          <t>P-003</t>
        </is>
      </c>
      <c r="C6" s="31" t="inlineStr">
        <is>
          <t>Main</t>
        </is>
      </c>
      <c r="D6" s="5" t="inlineStr">
        <is>
          <t>Straight Pipeline</t>
        </is>
      </c>
      <c r="E6" s="5" t="inlineStr"/>
      <c r="F6" s="4" t="n">
        <v>6</v>
      </c>
      <c r="G6" s="4" t="n">
        <v>6</v>
      </c>
      <c r="H6" s="5" t="inlineStr">
        <is>
          <t>G1A-5</t>
        </is>
      </c>
      <c r="I6" s="4" t="n">
        <v>6.096</v>
      </c>
      <c r="J6" s="4" t="n">
        <v>0</v>
      </c>
      <c r="K6" s="5" t="inlineStr"/>
      <c r="L6" s="4" t="n">
        <v>551.5806</v>
      </c>
      <c r="M6" s="5" t="inlineStr"/>
      <c r="N6" s="5" t="inlineStr"/>
      <c r="O6" s="5" t="inlineStr"/>
      <c r="P6" s="5" t="inlineStr"/>
      <c r="Q6" s="5" t="inlineStr"/>
      <c r="R6" s="5" t="inlineStr">
        <is>
          <t>Manual props (no stream)</t>
        </is>
      </c>
      <c r="S6" s="5" t="inlineStr"/>
      <c r="T6" s="5" t="inlineStr"/>
      <c r="U6" s="5" t="inlineStr"/>
      <c r="V6" s="5" t="inlineStr"/>
      <c r="W6" s="5" t="inlineStr"/>
      <c r="X6" s="5" t="inlineStr"/>
    </row>
    <row r="7">
      <c r="A7" s="7" t="n">
        <v>2</v>
      </c>
      <c r="B7" s="8" t="inlineStr">
        <is>
          <t>EL-003</t>
        </is>
      </c>
      <c r="C7" s="31" t="inlineStr">
        <is>
          <t>Main</t>
        </is>
      </c>
      <c r="D7" s="8" t="inlineStr">
        <is>
          <t>Elbow 90 Long</t>
        </is>
      </c>
      <c r="E7" s="8" t="inlineStr"/>
      <c r="F7" s="7" t="n">
        <v>6</v>
      </c>
      <c r="G7" s="7" t="n">
        <v>6</v>
      </c>
      <c r="H7" s="8" t="inlineStr">
        <is>
          <t>G1A-5</t>
        </is>
      </c>
      <c r="I7" s="7" t="n">
        <v>0</v>
      </c>
      <c r="J7" s="7" t="n">
        <v>0</v>
      </c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</row>
  </sheetData>
  <autoFilter ref="A4:X4"/>
  <mergeCells count="4">
    <mergeCell ref="A5:X5"/>
    <mergeCell ref="A3:X3"/>
    <mergeCell ref="A2:X2"/>
    <mergeCell ref="A1:X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A0A0A0"/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2" t="inlineStr">
        <is>
          <t>HyCalign Hydraulics — NO-ISO Flash Mode — Line Circuit C2  (H-285)</t>
        </is>
      </c>
    </row>
    <row r="2">
      <c r="A2" s="33" t="inlineStr"/>
    </row>
    <row r="3">
      <c r="A3" s="33" t="inlineStr">
        <is>
          <t>Line:         Circuit C2  (H-285)</t>
        </is>
      </c>
    </row>
    <row r="4">
      <c r="A4" s="33" t="inlineStr">
        <is>
          <t>Stream:       (manual)   (HMB: HMB.xlsx)</t>
        </is>
      </c>
    </row>
    <row r="5">
      <c r="A5" s="33" t="inlineStr">
        <is>
          <t>Input file:   pipeline_input_SI_test.xlsx</t>
        </is>
      </c>
    </row>
    <row r="6">
      <c r="A6" s="33" t="inlineStr">
        <is>
          <t>Phase (HMB):  VAPOR  -&gt;  calc path 'VAPOR'</t>
        </is>
      </c>
    </row>
    <row r="7">
      <c r="A7" s="33" t="inlineStr">
        <is>
          <t>Flash mode:   isothermal</t>
        </is>
      </c>
    </row>
    <row r="8">
      <c r="A8" s="33" t="inlineStr">
        <is>
          <t>Units:        SI  (input &amp; results; engine internals FPS)</t>
        </is>
      </c>
    </row>
    <row r="9">
      <c r="A9" s="33" t="inlineStr">
        <is>
          <t>Generated:    11-Jun-2026 17:58</t>
        </is>
      </c>
    </row>
    <row r="10">
      <c r="A10" s="33" t="inlineStr"/>
    </row>
    <row r="11">
      <c r="A11" s="34" t="inlineStr">
        <is>
          <t>PIPELINE INPUT</t>
        </is>
      </c>
    </row>
    <row r="12">
      <c r="A12" s="33" t="inlineStr">
        <is>
          <t xml:space="preserve">  Components entered manually in pipeline_input_noiso.xlsx.</t>
        </is>
      </c>
    </row>
    <row r="13">
      <c r="A13" s="33" t="inlineStr">
        <is>
          <t xml:space="preserve">  Internal diameter resolved from Piping Spec + Bore via pms_classes.py / asme_data.py.</t>
        </is>
      </c>
    </row>
    <row r="14">
      <c r="A14" s="33" t="inlineStr">
        <is>
          <t xml:space="preserve">  No ISOGEN .pcf required.</t>
        </is>
      </c>
    </row>
    <row r="15">
      <c r="A15" s="33" t="inlineStr"/>
    </row>
    <row r="16">
      <c r="A16" s="34" t="inlineStr">
        <is>
          <t>SPECIAL FITTINGS</t>
        </is>
      </c>
    </row>
    <row r="17">
      <c r="A17" s="33" t="inlineStr">
        <is>
          <t xml:space="preserve">  Fix K        — user-supplied K coefficient; Darcy-Weisbach friction + elevation still applied.</t>
        </is>
      </c>
    </row>
    <row r="18">
      <c r="A18" s="33" t="inlineStr">
        <is>
          <t xml:space="preserve">  Fix Pressure — user-supplied dP (kPa) subtracted directly; all hydraulics skipped.</t>
        </is>
      </c>
    </row>
    <row r="19">
      <c r="A19" s="33" t="inlineStr">
        <is>
          <t xml:space="preserve">  Orifice / FO — user-supplied Instr dP (kPa) subtracted directly; no velocity calculation.</t>
        </is>
      </c>
    </row>
    <row r="20">
      <c r="A20" s="33" t="inlineStr"/>
    </row>
    <row r="21">
      <c r="A21" s="34" t="inlineStr">
        <is>
          <t>FLASH VLE</t>
        </is>
      </c>
    </row>
    <row r="22">
      <c r="A22" s="33" t="inlineStr">
        <is>
          <t xml:space="preserve">  Method: isothermal flash at each station's local pressure.</t>
        </is>
      </c>
    </row>
    <row r="23">
      <c r="A23" s="33" t="inlineStr">
        <is>
          <t xml:space="preserve">  Reference K-values anchored to HMB molar vapor fraction at P_ref.</t>
        </is>
      </c>
    </row>
    <row r="24">
      <c r="A24" s="33" t="inlineStr">
        <is>
          <t xml:space="preserve">  Vapor mass flow and quality evolve as pressure falls (genuine flashing).</t>
        </is>
      </c>
    </row>
    <row r="25">
      <c r="A25" s="33" t="inlineStr">
        <is>
          <t xml:space="preserve">  Falls back to frozen HMB split when no composition is available.</t>
        </is>
      </c>
    </row>
    <row r="26">
      <c r="A26" s="33" t="inlineStr"/>
    </row>
    <row r="27">
      <c r="A27" s="34" t="inlineStr">
        <is>
          <t>FORMULAS</t>
        </is>
      </c>
    </row>
    <row r="28">
      <c r="A28" s="33" t="inlineStr">
        <is>
          <t xml:space="preserve">  Friction:  Darcy f·(L/D)·½ρv²   (64/Re laminar; Swamee-Jain turbulent)</t>
        </is>
      </c>
    </row>
    <row r="29">
      <c r="A29" s="33" t="inlineStr">
        <is>
          <t xml:space="preserve">  Fittings:  K·½ρv²   (K from Crane TP-410 table; Fix K uses user value)</t>
        </is>
      </c>
    </row>
    <row r="30">
      <c r="A30" s="33" t="inlineStr">
        <is>
          <t xml:space="preserve">  Elevation: ρ·g·Δz</t>
        </is>
      </c>
    </row>
    <row r="31">
      <c r="A31" s="33" t="inlineStr">
        <is>
          <t xml:space="preserve">  Roughness: 0.0018 in commercial steel.</t>
        </is>
      </c>
    </row>
    <row r="32">
      <c r="A32" s="33" t="inlineStr"/>
    </row>
    <row r="33">
      <c r="A33" s="33" t="inlineStr">
        <is>
          <t>VERIFY: schedule/wall from asme_data.py — confirm before design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2026-06-11T17:58:15Z</dcterms:created>
  <dcterms:modified xmlns:dcterms="http://purl.org/dc/terms/" xmlns:xsi="http://www.w3.org/2001/XMLSchema-instance" xsi:type="dcterms:W3CDTF">2026-06-11T17:58:15Z</dcterms:modified>
</cp:coreProperties>
</file>