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555" windowWidth="29040" windowHeight="15720" tabRatio="600" firstSheet="0" activeTab="0" autoFilterDateGrouping="1"/>
  </bookViews>
  <sheets>
    <sheet xmlns:r="http://schemas.openxmlformats.org/officeDocument/2006/relationships" name="Pipeline_Input" sheetId="1" state="visible" r:id="rId1"/>
    <sheet xmlns:r="http://schemas.openxmlformats.org/officeDocument/2006/relationships" name="_FittingList" sheetId="2" state="hidden" r:id="rId2"/>
    <sheet xmlns:r="http://schemas.openxmlformats.org/officeDocument/2006/relationships" name="Notes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Stream_Composition" sheetId="5" state="visible" r:id="rId5"/>
  </sheets>
  <definedNames>
    <definedName name="_xlnm._FilterDatabase" localSheetId="0" hidden="1">'Pipeline_Input'!$A$2:$AK$2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i val="1"/>
      <color rgb="FF808080"/>
      <sz val="9"/>
    </font>
    <font>
      <name val="Calibri"/>
      <b val="1"/>
      <color rgb="FF1F4973"/>
      <sz val="9"/>
    </font>
    <font>
      <name val="Calibri"/>
      <color rgb="FF404040"/>
      <sz val="9"/>
    </font>
    <font>
      <name val="Calibri"/>
      <b val="1"/>
      <color rgb="FFFFFFFF"/>
      <sz val="11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color rgb="FF808080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404040"/>
      <sz val="9"/>
    </font>
    <font>
      <name val="Calibri"/>
      <i val="1"/>
      <color rgb="00808080"/>
      <sz val="9"/>
    </font>
  </fonts>
  <fills count="10">
    <fill>
      <patternFill/>
    </fill>
    <fill>
      <patternFill patternType="gray125"/>
    </fill>
    <fill>
      <patternFill patternType="solid">
        <fgColor rgb="FF1F497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001F4973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7" fillId="5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6" borderId="6" applyAlignment="1" pivotButton="0" quotePrefix="0" xfId="0">
      <alignment horizontal="left" vertical="center" wrapText="1"/>
    </xf>
    <xf numFmtId="0" fontId="11" fillId="6" borderId="6" applyAlignment="1" pivotButton="0" quotePrefix="0" xfId="0">
      <alignment horizontal="left" vertical="center"/>
    </xf>
    <xf numFmtId="0" fontId="13" fillId="8" borderId="6" applyAlignment="1" pivotButton="0" quotePrefix="0" xfId="0">
      <alignment horizontal="left" vertical="center"/>
    </xf>
    <xf numFmtId="0" fontId="12" fillId="8" borderId="6" applyAlignment="1" pivotButton="0" quotePrefix="0" xfId="0">
      <alignment horizontal="left" vertical="center"/>
    </xf>
    <xf numFmtId="0" fontId="11" fillId="7" borderId="6" applyAlignment="1" pivotButton="0" quotePrefix="0" xfId="0">
      <alignment horizontal="left" vertical="center"/>
    </xf>
    <xf numFmtId="0" fontId="11" fillId="7" borderId="6" applyAlignment="1" pivotButton="0" quotePrefix="0" xfId="0">
      <alignment horizontal="center" vertical="center"/>
    </xf>
    <xf numFmtId="0" fontId="12" fillId="9" borderId="6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showGridLines="0" tabSelected="1" workbookViewId="0">
      <pane ySplit="2" topLeftCell="A9" activePane="bottomLeft" state="frozen"/>
      <selection pane="bottomLeft" activeCell="I19" sqref="I19"/>
    </sheetView>
  </sheetViews>
  <sheetFormatPr baseColWidth="8" defaultRowHeight="15"/>
  <cols>
    <col width="9" customWidth="1" style="15" min="1" max="1"/>
    <col width="12" customWidth="1" style="15" min="2" max="2"/>
    <col width="16" customWidth="1" style="15" min="3" max="3"/>
    <col width="10" customWidth="1" style="15" min="4" max="4"/>
    <col width="14" customWidth="1" style="15" min="5" max="5"/>
    <col width="10" customWidth="1" style="15" min="6" max="6"/>
    <col width="6" customWidth="1" style="15" min="7" max="7"/>
    <col width="12" customWidth="1" style="15" min="8" max="8"/>
    <col width="14" customWidth="1" style="15" min="9" max="9"/>
    <col width="12" customWidth="1" style="15" min="10" max="11"/>
    <col width="11" customWidth="1" style="15" min="12" max="12"/>
    <col width="14" customWidth="1" style="15" min="13" max="13"/>
    <col width="9" customWidth="1" style="15" min="14" max="14"/>
    <col width="11" customWidth="1" style="15" min="15" max="15"/>
    <col width="8" customWidth="1" style="15" min="16" max="16"/>
    <col width="10" customWidth="1" style="15" min="17" max="17"/>
    <col width="14" customWidth="1" style="15" min="18" max="20"/>
    <col width="10" customWidth="1" style="15" min="21" max="21"/>
    <col width="12" customWidth="1" style="15" min="22" max="22"/>
    <col width="32" customWidth="1" style="15" min="23" max="23"/>
    <col width="9" customWidth="1" style="15" min="24" max="24"/>
    <col width="11" customWidth="1" style="15" min="25" max="26"/>
    <col width="13" customWidth="1" style="15" min="27" max="27"/>
    <col width="10" customWidth="1" style="15" min="28" max="28"/>
    <col width="9" customWidth="1" style="15" min="29" max="29"/>
    <col width="12" customWidth="1" style="15" min="30" max="30"/>
    <col width="10" customWidth="1" style="15" min="31" max="31"/>
    <col width="12" customWidth="1" style="15" min="32" max="34"/>
    <col width="14" customWidth="1" style="15" min="35" max="35"/>
    <col width="16" customWidth="1" style="15" min="36" max="36"/>
    <col width="30" customWidth="1" style="15" min="37" max="37"/>
    <col width="9.140625" customWidth="1" style="15" min="38" max="16384"/>
  </cols>
  <sheetData>
    <row r="1" ht="27.95" customHeight="1" s="17">
      <c r="A1" s="14" t="inlineStr">
        <is>
          <t>NO-ISO PIPELINE INPUT  —  Group rows into hydraulic circuits using column A (Circuit).  All rows with the same Circuit ID are processed in series → one workbook per circuit.  Units: FPS (see UNITS sheet).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9" t="n"/>
    </row>
    <row r="2" ht="32.1" customHeight="1" s="17">
      <c r="A2" s="1" t="inlineStr">
        <is>
          <t>Circuit</t>
        </is>
      </c>
      <c r="B2" s="1" t="inlineStr">
        <is>
          <t>Line No</t>
        </is>
      </c>
      <c r="C2" s="1" t="inlineStr">
        <is>
          <t>HMB File</t>
        </is>
      </c>
      <c r="D2" s="1" t="inlineStr">
        <is>
          <t>Case</t>
        </is>
      </c>
      <c r="E2" s="1" t="inlineStr">
        <is>
          <t>Stream Lookup</t>
        </is>
      </c>
      <c r="F2" s="1" t="inlineStr">
        <is>
          <t>Run Type</t>
        </is>
      </c>
      <c r="G2" s="1" t="inlineStr">
        <is>
          <t>Seq</t>
        </is>
      </c>
      <c r="H2" s="1" t="inlineStr">
        <is>
          <t>Start P (psia)</t>
        </is>
      </c>
      <c r="I2" s="1" t="inlineStr">
        <is>
          <t>Flow Fraction from Main</t>
        </is>
      </c>
      <c r="J2" s="1" t="inlineStr">
        <is>
          <t>Mass Vapor Fraction Carry Over</t>
        </is>
      </c>
      <c r="K2" s="1" t="inlineStr">
        <is>
          <t>Mass Liquid Fraction Carry Over</t>
        </is>
      </c>
      <c r="L2" s="1" t="inlineStr">
        <is>
          <t>Temp (°F)</t>
        </is>
      </c>
      <c r="M2" s="1" t="inlineStr">
        <is>
          <t>Vapor Mass Flow (lb/hr)</t>
        </is>
      </c>
      <c r="N2" s="1" t="inlineStr">
        <is>
          <t>Vap MW</t>
        </is>
      </c>
      <c r="O2" s="1" t="inlineStr">
        <is>
          <t>Vap Visc (cP)</t>
        </is>
      </c>
      <c r="P2" s="1" t="inlineStr">
        <is>
          <t>Vap Z</t>
        </is>
      </c>
      <c r="Q2" s="1" t="inlineStr">
        <is>
          <t>Vap Cp/Cv</t>
        </is>
      </c>
      <c r="R2" s="1" t="inlineStr">
        <is>
          <t>Vap Density (lb/ft3)</t>
        </is>
      </c>
      <c r="S2" s="1" t="inlineStr">
        <is>
          <t>Liq Mass Flow (lb/hr)</t>
        </is>
      </c>
      <c r="T2" s="1" t="inlineStr">
        <is>
          <t>Liq Density (lb/ft3)</t>
        </is>
      </c>
      <c r="U2" s="1" t="inlineStr">
        <is>
          <t>Liq Visc (cP)</t>
        </is>
      </c>
      <c r="V2" s="1" t="inlineStr">
        <is>
          <t>Comp ID</t>
        </is>
      </c>
      <c r="W2" s="1" t="inlineStr">
        <is>
          <t>Fitting Name</t>
        </is>
      </c>
      <c r="X2" s="1" t="inlineStr">
        <is>
          <t>Bore (in)</t>
        </is>
      </c>
      <c r="Y2" s="1" t="inlineStr">
        <is>
          <t>Piping Spec</t>
        </is>
      </c>
      <c r="Z2" s="1" t="inlineStr">
        <is>
          <t>Length (ft)</t>
        </is>
      </c>
      <c r="AA2" s="1" t="inlineStr">
        <is>
          <t>Elev Change (ft)</t>
        </is>
      </c>
      <c r="AB2" s="1" t="inlineStr">
        <is>
          <t>Direction</t>
        </is>
      </c>
      <c r="AC2" s="1" t="inlineStr">
        <is>
          <t>Fixed K</t>
        </is>
      </c>
      <c r="AD2" s="1" t="inlineStr">
        <is>
          <t>Fixed dP (psi)</t>
        </is>
      </c>
      <c r="AE2" s="1" t="inlineStr">
        <is>
          <t>Instr Type</t>
        </is>
      </c>
      <c r="AF2" s="1" t="inlineStr">
        <is>
          <t>Instr Tag</t>
        </is>
      </c>
      <c r="AG2" s="1" t="inlineStr">
        <is>
          <t>Instr dP (psi)</t>
        </is>
      </c>
      <c r="AH2" s="1" t="inlineStr">
        <is>
          <t>Set P (psia)</t>
        </is>
      </c>
      <c r="AI2" s="1" t="inlineStr">
        <is>
          <t>Control Valve Type</t>
        </is>
      </c>
      <c r="AJ2" s="1" t="inlineStr">
        <is>
          <t>Exch Max Allow dP (psi)</t>
        </is>
      </c>
      <c r="AK2" s="1" t="inlineStr">
        <is>
          <t>Notes</t>
        </is>
      </c>
    </row>
    <row r="3">
      <c r="A3" s="12" t="inlineStr">
        <is>
          <t>C1</t>
        </is>
      </c>
      <c r="B3" s="12" t="inlineStr">
        <is>
          <t>V-093</t>
        </is>
      </c>
      <c r="C3" s="12" t="inlineStr">
        <is>
          <t>C:\Users\pmenon2\Music\procalc-main\Hydraulics\HMB.xlsx</t>
        </is>
      </c>
      <c r="D3" s="12" t="n"/>
      <c r="E3" s="12" t="inlineStr">
        <is>
          <t>T810-OH</t>
        </is>
      </c>
      <c r="F3" s="12" t="inlineStr">
        <is>
          <t>Main</t>
        </is>
      </c>
      <c r="G3" s="12" t="n">
        <v>1</v>
      </c>
      <c r="H3" s="12" t="n"/>
      <c r="I3" s="12" t="n"/>
      <c r="J3" s="12" t="n"/>
      <c r="K3" s="12" t="n"/>
      <c r="L3" s="13" t="n"/>
      <c r="M3" s="13" t="n">
        <v>564809</v>
      </c>
      <c r="N3" s="13" t="n"/>
      <c r="O3" s="13" t="n"/>
      <c r="P3" s="13" t="n"/>
      <c r="Q3" s="13" t="n"/>
      <c r="R3" s="13" t="n"/>
      <c r="S3" s="13" t="n"/>
      <c r="T3" s="13" t="n"/>
      <c r="U3" s="13" t="n"/>
      <c r="V3" s="12" t="n">
        <v>1</v>
      </c>
      <c r="W3" s="12" t="inlineStr">
        <is>
          <t>Pipeline Entrance - Inward Projecting</t>
        </is>
      </c>
      <c r="X3" s="12" t="n">
        <v>26</v>
      </c>
      <c r="Y3" s="12" t="inlineStr">
        <is>
          <t>G1A-3</t>
        </is>
      </c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</row>
    <row r="4">
      <c r="A4" s="12" t="inlineStr">
        <is>
          <t>C1</t>
        </is>
      </c>
      <c r="B4" s="12" t="inlineStr">
        <is>
          <t>V-093</t>
        </is>
      </c>
      <c r="C4" s="12" t="inlineStr">
        <is>
          <t>C:\Users\pmenon2\Music\procalc-main\Hydraulics\HMB.xlsx</t>
        </is>
      </c>
      <c r="D4" s="12" t="n"/>
      <c r="E4" s="12" t="inlineStr">
        <is>
          <t>T810-OH</t>
        </is>
      </c>
      <c r="F4" s="12" t="inlineStr">
        <is>
          <t>Main</t>
        </is>
      </c>
      <c r="G4" s="12" t="n">
        <v>2</v>
      </c>
      <c r="H4" s="12" t="n"/>
      <c r="I4" s="12" t="n"/>
      <c r="J4" s="12" t="n"/>
      <c r="K4" s="12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2" t="n">
        <v>2</v>
      </c>
      <c r="W4" s="12" t="inlineStr">
        <is>
          <t>Elbow 90 Long</t>
        </is>
      </c>
      <c r="X4" s="12" t="n">
        <v>26</v>
      </c>
      <c r="Y4" s="12" t="inlineStr">
        <is>
          <t>G1A-3</t>
        </is>
      </c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</row>
    <row r="5">
      <c r="A5" s="12" t="inlineStr">
        <is>
          <t>C1</t>
        </is>
      </c>
      <c r="B5" s="12" t="inlineStr">
        <is>
          <t>V-093</t>
        </is>
      </c>
      <c r="C5" s="12" t="inlineStr">
        <is>
          <t>C:\Users\pmenon2\Music\procalc-main\Hydraulics\HMB.xlsx</t>
        </is>
      </c>
      <c r="D5" s="12" t="n"/>
      <c r="E5" s="12" t="inlineStr">
        <is>
          <t>T810-OH</t>
        </is>
      </c>
      <c r="F5" s="12" t="inlineStr">
        <is>
          <t>Main</t>
        </is>
      </c>
      <c r="G5" s="12" t="n">
        <v>3</v>
      </c>
      <c r="H5" s="12" t="n"/>
      <c r="I5" s="12" t="n"/>
      <c r="J5" s="12" t="n"/>
      <c r="K5" s="12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2" t="n">
        <v>3</v>
      </c>
      <c r="W5" s="12" t="inlineStr">
        <is>
          <t>Elbow 90 Long</t>
        </is>
      </c>
      <c r="X5" s="12" t="n">
        <v>26</v>
      </c>
      <c r="Y5" s="12" t="inlineStr">
        <is>
          <t>G1A-3</t>
        </is>
      </c>
      <c r="Z5" s="12" t="n"/>
      <c r="AA5" s="12" t="n">
        <v>0</v>
      </c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</row>
    <row r="6">
      <c r="A6" s="12" t="inlineStr">
        <is>
          <t>C1</t>
        </is>
      </c>
      <c r="B6" s="12" t="inlineStr">
        <is>
          <t>V-093</t>
        </is>
      </c>
      <c r="C6" s="12" t="inlineStr">
        <is>
          <t>C:\Users\pmenon2\Music\procalc-main\Hydraulics\HMB.xlsx</t>
        </is>
      </c>
      <c r="D6" s="12" t="n"/>
      <c r="E6" s="12" t="inlineStr">
        <is>
          <t>T810-OH</t>
        </is>
      </c>
      <c r="F6" s="12" t="inlineStr">
        <is>
          <t>Main</t>
        </is>
      </c>
      <c r="G6" s="12" t="n">
        <v>4</v>
      </c>
      <c r="H6" s="12" t="n"/>
      <c r="I6" s="12" t="n"/>
      <c r="J6" s="12" t="n"/>
      <c r="K6" s="12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2" t="n">
        <v>4</v>
      </c>
      <c r="W6" s="12" t="inlineStr">
        <is>
          <t>Straight Pipeline</t>
        </is>
      </c>
      <c r="X6" s="12" t="n">
        <v>26</v>
      </c>
      <c r="Y6" s="12" t="inlineStr">
        <is>
          <t>G1A-3</t>
        </is>
      </c>
      <c r="Z6" s="12" t="n">
        <v>35.35</v>
      </c>
      <c r="AA6" s="12">
        <f>-187+170</f>
        <v/>
      </c>
      <c r="AB6" s="12" t="inlineStr">
        <is>
          <t>DOWN</t>
        </is>
      </c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</row>
    <row r="7">
      <c r="A7" s="12" t="inlineStr">
        <is>
          <t>C1</t>
        </is>
      </c>
      <c r="B7" s="12" t="inlineStr">
        <is>
          <t>V-093</t>
        </is>
      </c>
      <c r="C7" s="12" t="inlineStr">
        <is>
          <t>C:\Users\pmenon2\Music\procalc-main\Hydraulics\HMB.xlsx</t>
        </is>
      </c>
      <c r="D7" s="12" t="n"/>
      <c r="E7" s="12" t="inlineStr">
        <is>
          <t>T810-OH</t>
        </is>
      </c>
      <c r="F7" s="12" t="inlineStr">
        <is>
          <t>Main</t>
        </is>
      </c>
      <c r="G7" s="12" t="n">
        <v>5</v>
      </c>
      <c r="H7" s="12" t="n"/>
      <c r="I7" s="12" t="n"/>
      <c r="J7" s="12" t="n"/>
      <c r="K7" s="12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2" t="n">
        <v>5</v>
      </c>
      <c r="W7" s="12" t="inlineStr">
        <is>
          <t>Elbow 90 Long</t>
        </is>
      </c>
      <c r="X7" s="12" t="n">
        <v>26</v>
      </c>
      <c r="Y7" s="12" t="inlineStr">
        <is>
          <t>G1A-3</t>
        </is>
      </c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</row>
    <row r="8">
      <c r="A8" s="12" t="inlineStr">
        <is>
          <t>C1</t>
        </is>
      </c>
      <c r="B8" s="12" t="inlineStr">
        <is>
          <t>V-093</t>
        </is>
      </c>
      <c r="C8" s="12" t="inlineStr">
        <is>
          <t>C:\Users\pmenon2\Music\procalc-main\Hydraulics\HMB.xlsx</t>
        </is>
      </c>
      <c r="D8" s="12" t="n"/>
      <c r="E8" s="12" t="inlineStr">
        <is>
          <t>T810-OH</t>
        </is>
      </c>
      <c r="F8" s="12" t="inlineStr">
        <is>
          <t>Main</t>
        </is>
      </c>
      <c r="G8" s="12" t="n">
        <v>6</v>
      </c>
      <c r="H8" s="12" t="n"/>
      <c r="I8" s="12" t="n"/>
      <c r="J8" s="12" t="n"/>
      <c r="K8" s="12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2" t="n">
        <v>6</v>
      </c>
      <c r="W8" s="12" t="inlineStr">
        <is>
          <t>Straight Pipeline</t>
        </is>
      </c>
      <c r="X8" s="12" t="n">
        <v>26</v>
      </c>
      <c r="Y8" s="12" t="inlineStr">
        <is>
          <t>G1A-3</t>
        </is>
      </c>
      <c r="Z8" s="12" t="n">
        <v>2.5</v>
      </c>
      <c r="AA8" s="12">
        <f>-170+145</f>
        <v/>
      </c>
      <c r="AB8" s="12" t="inlineStr">
        <is>
          <t>DOWN</t>
        </is>
      </c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</row>
    <row r="9">
      <c r="A9" s="12" t="inlineStr">
        <is>
          <t>C1</t>
        </is>
      </c>
      <c r="B9" s="12" t="inlineStr">
        <is>
          <t>V-093</t>
        </is>
      </c>
      <c r="C9" s="12" t="inlineStr">
        <is>
          <t>C:\Users\pmenon2\Music\procalc-main\Hydraulics\HMB.xlsx</t>
        </is>
      </c>
      <c r="D9" s="12" t="n"/>
      <c r="E9" s="12" t="inlineStr">
        <is>
          <t>T810-OH</t>
        </is>
      </c>
      <c r="F9" s="12" t="inlineStr">
        <is>
          <t>Main</t>
        </is>
      </c>
      <c r="G9" s="12" t="n">
        <v>7</v>
      </c>
      <c r="H9" s="12" t="n"/>
      <c r="I9" s="12" t="n"/>
      <c r="J9" s="12" t="n"/>
      <c r="K9" s="12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2" t="n">
        <v>7</v>
      </c>
      <c r="W9" s="12" t="inlineStr">
        <is>
          <t>Elbow 45 Long</t>
        </is>
      </c>
      <c r="X9" s="12" t="n">
        <v>26</v>
      </c>
      <c r="Y9" s="12" t="inlineStr">
        <is>
          <t>G1A-3</t>
        </is>
      </c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</row>
    <row r="10">
      <c r="A10" s="12" t="inlineStr">
        <is>
          <t>C1</t>
        </is>
      </c>
      <c r="B10" s="12" t="inlineStr">
        <is>
          <t>V-093</t>
        </is>
      </c>
      <c r="C10" s="12" t="inlineStr">
        <is>
          <t>C:\Users\pmenon2\Music\procalc-main\Hydraulics\HMB.xlsx</t>
        </is>
      </c>
      <c r="D10" s="12" t="n"/>
      <c r="E10" s="12" t="inlineStr">
        <is>
          <t>T810-OH</t>
        </is>
      </c>
      <c r="F10" s="12" t="inlineStr">
        <is>
          <t>Main</t>
        </is>
      </c>
      <c r="G10" s="12" t="n">
        <v>8</v>
      </c>
      <c r="H10" s="12" t="n"/>
      <c r="I10" s="12" t="n"/>
      <c r="J10" s="12" t="n"/>
      <c r="K10" s="12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2" t="n">
        <v>8</v>
      </c>
      <c r="W10" s="12" t="inlineStr">
        <is>
          <t>Straight Pipeline</t>
        </is>
      </c>
      <c r="X10" s="12" t="n">
        <v>26</v>
      </c>
      <c r="Y10" s="12" t="inlineStr">
        <is>
          <t>G1A-3</t>
        </is>
      </c>
      <c r="Z10" s="12" t="n">
        <v>25.519</v>
      </c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</row>
    <row r="11">
      <c r="A11" s="12" t="inlineStr">
        <is>
          <t>C1</t>
        </is>
      </c>
      <c r="B11" s="12" t="inlineStr">
        <is>
          <t>V-093</t>
        </is>
      </c>
      <c r="C11" s="12" t="inlineStr">
        <is>
          <t>C:\Users\pmenon2\Music\procalc-main\Hydraulics\HMB.xlsx</t>
        </is>
      </c>
      <c r="D11" s="12" t="n"/>
      <c r="E11" s="12" t="inlineStr">
        <is>
          <t>T810-OH</t>
        </is>
      </c>
      <c r="F11" s="12" t="inlineStr">
        <is>
          <t>Main</t>
        </is>
      </c>
      <c r="G11" s="12" t="n">
        <v>9</v>
      </c>
      <c r="H11" s="12" t="n"/>
      <c r="I11" s="12" t="n"/>
      <c r="J11" s="12" t="n"/>
      <c r="K11" s="12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2" t="n">
        <v>9</v>
      </c>
      <c r="W11" s="12" t="inlineStr">
        <is>
          <t>Elbow 90 Long</t>
        </is>
      </c>
      <c r="X11" s="12" t="n">
        <v>26</v>
      </c>
      <c r="Y11" s="12" t="inlineStr">
        <is>
          <t>G1A-3</t>
        </is>
      </c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</row>
    <row r="12">
      <c r="A12" s="12" t="inlineStr">
        <is>
          <t>C1</t>
        </is>
      </c>
      <c r="B12" s="12" t="inlineStr">
        <is>
          <t>V-093</t>
        </is>
      </c>
      <c r="C12" s="12" t="inlineStr">
        <is>
          <t>C:\Users\pmenon2\Music\procalc-main\Hydraulics\HMB.xlsx</t>
        </is>
      </c>
      <c r="D12" s="12" t="n"/>
      <c r="E12" s="12" t="inlineStr">
        <is>
          <t>T810-OH</t>
        </is>
      </c>
      <c r="F12" s="12" t="inlineStr">
        <is>
          <t>Main</t>
        </is>
      </c>
      <c r="G12" s="12" t="n">
        <v>10</v>
      </c>
      <c r="H12" s="12" t="n"/>
      <c r="I12" s="12" t="n"/>
      <c r="J12" s="12" t="n"/>
      <c r="K12" s="12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2" t="n">
        <v>10</v>
      </c>
      <c r="W12" s="12" t="inlineStr">
        <is>
          <t>Straight Pipeline</t>
        </is>
      </c>
      <c r="X12" s="12" t="n">
        <v>26</v>
      </c>
      <c r="Y12" s="12" t="inlineStr">
        <is>
          <t>G1A-3</t>
        </is>
      </c>
      <c r="Z12" s="12" t="n">
        <v>24.209</v>
      </c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</row>
    <row r="13">
      <c r="A13" s="12" t="inlineStr">
        <is>
          <t>C1</t>
        </is>
      </c>
      <c r="B13" s="12" t="inlineStr">
        <is>
          <t>V-093</t>
        </is>
      </c>
      <c r="C13" s="12" t="inlineStr">
        <is>
          <t>C:\Users\pmenon2\Music\procalc-main\Hydraulics\HMB.xlsx</t>
        </is>
      </c>
      <c r="D13" s="12" t="n"/>
      <c r="E13" s="12" t="inlineStr">
        <is>
          <t>T810-OH</t>
        </is>
      </c>
      <c r="F13" s="12" t="inlineStr">
        <is>
          <t>Main</t>
        </is>
      </c>
      <c r="G13" s="12" t="n">
        <v>1</v>
      </c>
      <c r="H13" s="12" t="n"/>
      <c r="I13" s="12" t="n"/>
      <c r="K13" s="12" t="n"/>
      <c r="L13" s="13" t="n"/>
      <c r="M13" s="13">
        <f>+$M$3*0.5</f>
        <v/>
      </c>
      <c r="N13" s="13" t="n"/>
      <c r="O13" s="13" t="n"/>
      <c r="P13" s="13" t="n"/>
      <c r="Q13" s="13" t="n"/>
      <c r="R13" s="13" t="n"/>
      <c r="S13" s="13" t="n"/>
      <c r="T13" s="13" t="n"/>
      <c r="U13" s="13" t="n"/>
      <c r="V13" s="12" t="n">
        <v>11</v>
      </c>
      <c r="W13" s="12" t="inlineStr">
        <is>
          <t>Tee Split Branch Flow 1</t>
        </is>
      </c>
      <c r="X13" s="12" t="n">
        <v>26</v>
      </c>
      <c r="Y13" s="12" t="inlineStr">
        <is>
          <t>G1A-3</t>
        </is>
      </c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</row>
    <row r="14">
      <c r="A14" s="12" t="inlineStr">
        <is>
          <t>C1</t>
        </is>
      </c>
      <c r="B14" s="12" t="inlineStr">
        <is>
          <t>V-093</t>
        </is>
      </c>
      <c r="C14" s="12" t="inlineStr">
        <is>
          <t>C:\Users\pmenon2\Music\procalc-main\Hydraulics\HMB.xlsx</t>
        </is>
      </c>
      <c r="D14" s="12" t="n"/>
      <c r="E14" s="12" t="inlineStr">
        <is>
          <t>T810-OH</t>
        </is>
      </c>
      <c r="F14" s="12" t="inlineStr">
        <is>
          <t>Main</t>
        </is>
      </c>
      <c r="G14" s="12" t="n">
        <v>2</v>
      </c>
      <c r="H14" s="12" t="n"/>
      <c r="I14" s="12" t="n"/>
      <c r="K14" s="12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2" t="n">
        <v>12</v>
      </c>
      <c r="W14" s="12" t="inlineStr">
        <is>
          <t>Straight Pipeline</t>
        </is>
      </c>
      <c r="X14" s="12" t="n">
        <v>18</v>
      </c>
      <c r="Y14" s="12" t="inlineStr">
        <is>
          <t>G1A-3</t>
        </is>
      </c>
      <c r="Z14" s="12" t="n">
        <v>3.2</v>
      </c>
      <c r="AA14" s="12">
        <f>-145+143</f>
        <v/>
      </c>
      <c r="AB14" s="12" t="inlineStr">
        <is>
          <t>DOWN</t>
        </is>
      </c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</row>
    <row r="15">
      <c r="A15" s="12" t="inlineStr">
        <is>
          <t>C1</t>
        </is>
      </c>
      <c r="B15" s="12" t="inlineStr">
        <is>
          <t>V-093</t>
        </is>
      </c>
      <c r="C15" s="12" t="inlineStr">
        <is>
          <t>C:\Users\pmenon2\Music\procalc-main\Hydraulics\HMB.xlsx</t>
        </is>
      </c>
      <c r="D15" s="12" t="n"/>
      <c r="E15" s="12" t="inlineStr">
        <is>
          <t>T810-OH</t>
        </is>
      </c>
      <c r="F15" s="12" t="inlineStr">
        <is>
          <t>Main</t>
        </is>
      </c>
      <c r="G15" s="12" t="n">
        <v>3</v>
      </c>
      <c r="H15" s="12" t="n"/>
      <c r="I15" s="12" t="n"/>
      <c r="K15" s="12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2" t="n">
        <v>13</v>
      </c>
      <c r="W15" s="12" t="inlineStr">
        <is>
          <t>Elbow 90 Long</t>
        </is>
      </c>
      <c r="X15" s="12" t="n">
        <v>18</v>
      </c>
      <c r="Y15" s="12" t="inlineStr">
        <is>
          <t>G1A-3</t>
        </is>
      </c>
      <c r="Z15" s="12" t="n"/>
      <c r="AA15" s="12">
        <f>-143+139</f>
        <v/>
      </c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</row>
    <row r="16">
      <c r="A16" s="12" t="inlineStr">
        <is>
          <t>C1</t>
        </is>
      </c>
      <c r="B16" s="12" t="inlineStr">
        <is>
          <t>V-093</t>
        </is>
      </c>
      <c r="C16" s="12" t="inlineStr">
        <is>
          <t>C:\Users\pmenon2\Music\procalc-main\Hydraulics\HMB.xlsx</t>
        </is>
      </c>
      <c r="D16" s="12" t="n"/>
      <c r="E16" s="12" t="inlineStr">
        <is>
          <t>T810-OH</t>
        </is>
      </c>
      <c r="F16" s="12" t="inlineStr">
        <is>
          <t>Main</t>
        </is>
      </c>
      <c r="G16" s="12" t="n">
        <v>4</v>
      </c>
      <c r="H16" s="12" t="n"/>
      <c r="I16" s="12" t="n"/>
      <c r="K16" s="12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2" t="n">
        <v>14</v>
      </c>
      <c r="W16" s="12" t="inlineStr">
        <is>
          <t>Straight Pipeline</t>
        </is>
      </c>
      <c r="X16" s="12" t="n">
        <v>18</v>
      </c>
      <c r="Y16" s="12" t="inlineStr">
        <is>
          <t>G1A-3</t>
        </is>
      </c>
      <c r="Z16" s="12" t="n">
        <v>4.6</v>
      </c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</row>
    <row r="17">
      <c r="A17" s="12" t="inlineStr">
        <is>
          <t>C1</t>
        </is>
      </c>
      <c r="B17" s="12" t="inlineStr">
        <is>
          <t>V-093</t>
        </is>
      </c>
      <c r="C17" s="12" t="inlineStr">
        <is>
          <t>C:\Users\pmenon2\Music\procalc-main\Hydraulics\HMB.xlsx</t>
        </is>
      </c>
      <c r="D17" s="12" t="n"/>
      <c r="E17" s="12" t="inlineStr">
        <is>
          <t>T810-OH</t>
        </is>
      </c>
      <c r="F17" s="12" t="inlineStr">
        <is>
          <t>Main</t>
        </is>
      </c>
      <c r="G17" s="12" t="n">
        <v>5</v>
      </c>
      <c r="H17" s="12" t="n"/>
      <c r="I17" s="12" t="n"/>
      <c r="K17" s="12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2" t="n">
        <v>15</v>
      </c>
      <c r="W17" s="12" t="inlineStr">
        <is>
          <t>Gate Full Open</t>
        </is>
      </c>
      <c r="X17" s="12" t="n">
        <v>18</v>
      </c>
      <c r="Y17" s="12" t="inlineStr">
        <is>
          <t>G1A-3</t>
        </is>
      </c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</row>
    <row r="18">
      <c r="A18" s="12" t="inlineStr">
        <is>
          <t>C1</t>
        </is>
      </c>
      <c r="B18" s="12" t="inlineStr">
        <is>
          <t>V-093</t>
        </is>
      </c>
      <c r="C18" s="12" t="inlineStr">
        <is>
          <t>C:\Users\pmenon2\Music\procalc-main\Hydraulics\HMB.xlsx</t>
        </is>
      </c>
      <c r="D18" s="12" t="n"/>
      <c r="E18" s="12" t="inlineStr">
        <is>
          <t>T810-OH</t>
        </is>
      </c>
      <c r="F18" s="12" t="inlineStr">
        <is>
          <t>Main</t>
        </is>
      </c>
      <c r="G18" s="12" t="n">
        <v>6</v>
      </c>
      <c r="H18" s="12" t="n"/>
      <c r="I18" s="12" t="n"/>
      <c r="K18" s="12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2" t="n">
        <v>16</v>
      </c>
      <c r="W18" s="12" t="inlineStr">
        <is>
          <t>Straight Pipeline</t>
        </is>
      </c>
      <c r="X18" s="12" t="n">
        <v>18</v>
      </c>
      <c r="Y18" s="12" t="inlineStr">
        <is>
          <t>G1A-3</t>
        </is>
      </c>
      <c r="Z18" s="12" t="n">
        <v>2.25</v>
      </c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</row>
    <row r="19">
      <c r="A19" s="12" t="inlineStr">
        <is>
          <t>C1</t>
        </is>
      </c>
      <c r="B19" s="12" t="inlineStr">
        <is>
          <t>V-093</t>
        </is>
      </c>
      <c r="C19" s="12" t="inlineStr">
        <is>
          <t>C:\Users\pmenon2\Music\procalc-main\Hydraulics\HMB.xlsx</t>
        </is>
      </c>
      <c r="D19" s="12" t="n"/>
      <c r="E19" s="12" t="inlineStr">
        <is>
          <t>T810-OH</t>
        </is>
      </c>
      <c r="F19" s="12" t="inlineStr">
        <is>
          <t>Main</t>
        </is>
      </c>
      <c r="G19" s="12" t="n">
        <v>7</v>
      </c>
      <c r="H19" s="12" t="n"/>
      <c r="I19" s="12" t="n"/>
      <c r="K19" s="12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2" t="n">
        <v>17</v>
      </c>
      <c r="W19" s="12" t="inlineStr">
        <is>
          <t>Elbow 90 Long</t>
        </is>
      </c>
      <c r="X19" s="12" t="n">
        <v>18</v>
      </c>
      <c r="Y19" s="12" t="inlineStr">
        <is>
          <t>G1A-3</t>
        </is>
      </c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2" t="inlineStr">
        <is>
          <t>C1</t>
        </is>
      </c>
      <c r="B20" s="12" t="inlineStr">
        <is>
          <t>V-093</t>
        </is>
      </c>
      <c r="C20" s="12" t="inlineStr">
        <is>
          <t>C:\Users\pmenon2\Music\procalc-main\Hydraulics\HMB.xlsx</t>
        </is>
      </c>
      <c r="D20" s="12" t="n"/>
      <c r="E20" s="12" t="inlineStr">
        <is>
          <t>T810-OH</t>
        </is>
      </c>
      <c r="F20" s="12" t="inlineStr">
        <is>
          <t>Main</t>
        </is>
      </c>
      <c r="G20" s="12" t="n">
        <v>8</v>
      </c>
      <c r="H20" s="12" t="n"/>
      <c r="I20" s="12" t="n"/>
      <c r="K20" s="12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2" t="n">
        <v>18</v>
      </c>
      <c r="W20" s="12" t="inlineStr">
        <is>
          <t>Straight Pipeline</t>
        </is>
      </c>
      <c r="X20" s="12" t="n">
        <v>18</v>
      </c>
      <c r="Y20" s="12" t="inlineStr">
        <is>
          <t>G1A-3</t>
        </is>
      </c>
      <c r="Z20" s="12" t="n">
        <v>2.25</v>
      </c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>
      <c r="A21" s="12" t="inlineStr">
        <is>
          <t>C1</t>
        </is>
      </c>
      <c r="B21" s="12" t="inlineStr">
        <is>
          <t>V-093</t>
        </is>
      </c>
      <c r="C21" s="12" t="inlineStr">
        <is>
          <t>C:\Users\pmenon2\Music\procalc-main\Hydraulics\HMB.xlsx</t>
        </is>
      </c>
      <c r="D21" s="12" t="n"/>
      <c r="E21" s="12" t="inlineStr">
        <is>
          <t>T810-OH</t>
        </is>
      </c>
      <c r="F21" s="12" t="inlineStr">
        <is>
          <t>Main</t>
        </is>
      </c>
      <c r="G21" s="12" t="n">
        <v>9</v>
      </c>
      <c r="H21" s="12" t="n"/>
      <c r="I21" s="12" t="n"/>
      <c r="K21" s="12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2" t="n">
        <v>19</v>
      </c>
      <c r="W21" s="12" t="inlineStr">
        <is>
          <t>Elbow 90 Long</t>
        </is>
      </c>
      <c r="X21" s="12" t="n">
        <v>18</v>
      </c>
      <c r="Y21" s="12" t="inlineStr">
        <is>
          <t>G1A-3</t>
        </is>
      </c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2" t="inlineStr">
        <is>
          <t>C1</t>
        </is>
      </c>
      <c r="B22" s="12" t="inlineStr">
        <is>
          <t>V-093</t>
        </is>
      </c>
      <c r="C22" s="12" t="inlineStr">
        <is>
          <t>C:\Users\pmenon2\Music\procalc-main\Hydraulics\HMB.xlsx</t>
        </is>
      </c>
      <c r="D22" s="12" t="n"/>
      <c r="E22" s="12" t="inlineStr">
        <is>
          <t>T810-OH</t>
        </is>
      </c>
      <c r="F22" s="12" t="inlineStr">
        <is>
          <t>Main</t>
        </is>
      </c>
      <c r="G22" s="12" t="n">
        <v>10</v>
      </c>
      <c r="H22" s="12" t="n"/>
      <c r="I22" s="12" t="n"/>
      <c r="K22" s="12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2" t="n">
        <v>20</v>
      </c>
      <c r="W22" s="12" t="inlineStr">
        <is>
          <t>Straight Pipeline</t>
        </is>
      </c>
      <c r="X22" s="12" t="n">
        <v>18</v>
      </c>
      <c r="Y22" s="12" t="inlineStr">
        <is>
          <t>G1A-3</t>
        </is>
      </c>
      <c r="Z22" s="12" t="n">
        <v>12.39</v>
      </c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</row>
    <row r="23">
      <c r="A23" s="12" t="inlineStr">
        <is>
          <t>C1</t>
        </is>
      </c>
      <c r="B23" s="12" t="inlineStr">
        <is>
          <t>V-093</t>
        </is>
      </c>
      <c r="C23" s="12" t="inlineStr">
        <is>
          <t>C:\Users\pmenon2\Music\procalc-main\Hydraulics\HMB.xlsx</t>
        </is>
      </c>
      <c r="D23" s="12" t="n"/>
      <c r="E23" s="12" t="inlineStr">
        <is>
          <t>T810-OH</t>
        </is>
      </c>
      <c r="F23" s="12" t="inlineStr">
        <is>
          <t>Main</t>
        </is>
      </c>
      <c r="G23" s="12" t="n">
        <v>1</v>
      </c>
      <c r="H23" s="12" t="n"/>
      <c r="I23" s="12" t="n"/>
      <c r="K23" s="12" t="n"/>
      <c r="L23" s="13" t="n"/>
      <c r="M23" s="13">
        <f>+$M$13*0.5</f>
        <v/>
      </c>
      <c r="N23" s="13" t="n"/>
      <c r="O23" s="13" t="n"/>
      <c r="P23" s="13" t="n"/>
      <c r="Q23" s="13" t="n"/>
      <c r="R23" s="13" t="n"/>
      <c r="S23" s="13" t="n"/>
      <c r="T23" s="13" t="n"/>
      <c r="U23" s="13" t="n"/>
      <c r="V23" s="12" t="n">
        <v>21</v>
      </c>
      <c r="W23" s="12" t="inlineStr">
        <is>
          <t>Tee Split Branch Flow 2</t>
        </is>
      </c>
      <c r="X23" s="12" t="n">
        <v>18</v>
      </c>
      <c r="Y23" s="12" t="inlineStr">
        <is>
          <t>G1A-3</t>
        </is>
      </c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>
      <c r="A24" s="12" t="inlineStr">
        <is>
          <t>C1</t>
        </is>
      </c>
      <c r="B24" s="12" t="inlineStr">
        <is>
          <t>V-093</t>
        </is>
      </c>
      <c r="C24" s="12" t="inlineStr">
        <is>
          <t>C:\Users\pmenon2\Music\procalc-main\Hydraulics\HMB.xlsx</t>
        </is>
      </c>
      <c r="D24" s="12" t="n"/>
      <c r="E24" s="12" t="inlineStr">
        <is>
          <t>T810-OH</t>
        </is>
      </c>
      <c r="F24" s="12" t="inlineStr">
        <is>
          <t>Main</t>
        </is>
      </c>
      <c r="G24" s="12" t="n">
        <v>2</v>
      </c>
      <c r="H24" s="12" t="n"/>
      <c r="I24" s="12" t="n"/>
      <c r="K24" s="12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2" t="n">
        <v>22</v>
      </c>
      <c r="W24" s="12" t="inlineStr">
        <is>
          <t>Elbow 90 Long</t>
        </is>
      </c>
      <c r="X24" s="12" t="n">
        <v>18</v>
      </c>
      <c r="Y24" s="12" t="inlineStr">
        <is>
          <t>G1A-3</t>
        </is>
      </c>
      <c r="Z24" s="12" t="n"/>
      <c r="AA24" s="12" t="n">
        <v>-2.5</v>
      </c>
      <c r="AB24" s="12" t="inlineStr">
        <is>
          <t>DOWN</t>
        </is>
      </c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</row>
    <row r="25">
      <c r="A25" s="12" t="inlineStr">
        <is>
          <t>C1</t>
        </is>
      </c>
      <c r="B25" s="12" t="inlineStr">
        <is>
          <t>V-093</t>
        </is>
      </c>
      <c r="C25" s="12" t="inlineStr">
        <is>
          <t>C:\Users\pmenon2\Music\procalc-main\Hydraulics\HMB.xlsx</t>
        </is>
      </c>
      <c r="D25" s="12" t="n"/>
      <c r="E25" s="12" t="inlineStr">
        <is>
          <t>T810-OH</t>
        </is>
      </c>
      <c r="F25" s="12" t="inlineStr">
        <is>
          <t>Main</t>
        </is>
      </c>
      <c r="G25" s="12" t="n">
        <v>3</v>
      </c>
      <c r="H25" s="12" t="n"/>
      <c r="I25" s="12" t="n"/>
      <c r="K25" s="12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2" t="n">
        <v>23</v>
      </c>
      <c r="W25" s="12" t="inlineStr">
        <is>
          <t>Elbow 90 Long</t>
        </is>
      </c>
      <c r="X25" s="12" t="n">
        <v>18</v>
      </c>
      <c r="Y25" s="12" t="inlineStr">
        <is>
          <t>G1A-3</t>
        </is>
      </c>
      <c r="Z25" s="12" t="n"/>
      <c r="AA25" s="12" t="n">
        <v>-2.5</v>
      </c>
      <c r="AB25" s="12" t="inlineStr">
        <is>
          <t>DOWN</t>
        </is>
      </c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</row>
    <row r="26">
      <c r="A26" s="12" t="inlineStr">
        <is>
          <t>C1</t>
        </is>
      </c>
      <c r="B26" s="12" t="inlineStr">
        <is>
          <t>V-093</t>
        </is>
      </c>
      <c r="C26" s="12" t="inlineStr">
        <is>
          <t>C:\Users\pmenon2\Music\procalc-main\Hydraulics\HMB.xlsx</t>
        </is>
      </c>
      <c r="D26" s="12" t="n"/>
      <c r="E26" s="12" t="inlineStr">
        <is>
          <t>T810-OH</t>
        </is>
      </c>
      <c r="F26" s="12" t="inlineStr">
        <is>
          <t>Main</t>
        </is>
      </c>
      <c r="G26" s="12" t="n">
        <v>4</v>
      </c>
      <c r="H26" s="12" t="n"/>
      <c r="I26" s="12" t="n"/>
      <c r="K26" s="12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2" t="n">
        <v>24</v>
      </c>
      <c r="W26" s="12" t="inlineStr">
        <is>
          <t>Straight Pipeline</t>
        </is>
      </c>
      <c r="X26" s="12" t="n">
        <v>18</v>
      </c>
      <c r="Y26" s="12" t="inlineStr">
        <is>
          <t>G1A-3</t>
        </is>
      </c>
      <c r="Z26" s="12" t="n">
        <v>12.39</v>
      </c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</row>
    <row r="27">
      <c r="A27" s="12" t="inlineStr">
        <is>
          <t>C1</t>
        </is>
      </c>
      <c r="B27" s="12" t="inlineStr">
        <is>
          <t>V-093</t>
        </is>
      </c>
      <c r="C27" s="12" t="inlineStr">
        <is>
          <t>C:\Users\pmenon2\Music\procalc-main\Hydraulics\HMB.xlsx</t>
        </is>
      </c>
      <c r="D27" s="12" t="n"/>
      <c r="E27" s="12" t="inlineStr">
        <is>
          <t>T810-OH</t>
        </is>
      </c>
      <c r="F27" s="12" t="inlineStr">
        <is>
          <t>Main</t>
        </is>
      </c>
      <c r="G27" s="12" t="n">
        <v>7</v>
      </c>
      <c r="H27" s="12" t="n"/>
      <c r="I27" s="12" t="n"/>
      <c r="K27" s="12" t="n"/>
      <c r="L27" s="13" t="n"/>
      <c r="M27" s="13">
        <f>+$M$23*0.5</f>
        <v/>
      </c>
      <c r="N27" s="13" t="n"/>
      <c r="O27" s="13" t="n"/>
      <c r="P27" s="13" t="n"/>
      <c r="Q27" s="13" t="n"/>
      <c r="R27" s="13" t="n"/>
      <c r="S27" s="13" t="n"/>
      <c r="T27" s="13" t="n"/>
      <c r="U27" s="13" t="n"/>
      <c r="V27" s="12" t="n">
        <v>25</v>
      </c>
      <c r="W27" s="12" t="inlineStr">
        <is>
          <t>Tee Split Branch Flow 2</t>
        </is>
      </c>
      <c r="X27" s="12" t="n">
        <v>18</v>
      </c>
      <c r="Y27" s="12" t="inlineStr">
        <is>
          <t>G1A-3</t>
        </is>
      </c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</row>
    <row r="28">
      <c r="A28" s="12" t="inlineStr">
        <is>
          <t>C1</t>
        </is>
      </c>
      <c r="B28" s="12" t="inlineStr">
        <is>
          <t>V-093</t>
        </is>
      </c>
      <c r="C28" s="12" t="inlineStr">
        <is>
          <t>C:\Users\pmenon2\Music\procalc-main\Hydraulics\HMB.xlsx</t>
        </is>
      </c>
      <c r="D28" s="12" t="n"/>
      <c r="E28" s="12" t="inlineStr">
        <is>
          <t>T810-OH</t>
        </is>
      </c>
      <c r="F28" s="12" t="inlineStr">
        <is>
          <t>Main</t>
        </is>
      </c>
      <c r="G28" s="12" t="n">
        <v>2</v>
      </c>
      <c r="H28" s="12" t="n"/>
      <c r="I28" s="12" t="n"/>
      <c r="J28" s="12" t="n"/>
      <c r="K28" s="12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2" t="n">
        <v>26</v>
      </c>
      <c r="W28" s="12" t="inlineStr">
        <is>
          <t>Reducer</t>
        </is>
      </c>
      <c r="X28" s="12" t="n">
        <v>12</v>
      </c>
      <c r="Y28" s="12" t="inlineStr">
        <is>
          <t>G1A-3</t>
        </is>
      </c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</row>
    <row r="29">
      <c r="A29" s="12" t="inlineStr">
        <is>
          <t>C1</t>
        </is>
      </c>
      <c r="B29" s="12" t="inlineStr">
        <is>
          <t>V-093</t>
        </is>
      </c>
      <c r="C29" s="12" t="inlineStr">
        <is>
          <t>C:\Users\pmenon2\Music\procalc-main\Hydraulics\HMB.xlsx</t>
        </is>
      </c>
      <c r="D29" s="12" t="n"/>
      <c r="E29" s="12" t="inlineStr">
        <is>
          <t>T810-OH</t>
        </is>
      </c>
      <c r="F29" s="12" t="inlineStr">
        <is>
          <t>Main</t>
        </is>
      </c>
      <c r="G29" s="12" t="n">
        <v>3</v>
      </c>
      <c r="H29" s="12" t="n"/>
      <c r="I29" s="12" t="n"/>
      <c r="J29" s="12" t="n"/>
      <c r="K29" s="12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2" t="n">
        <v>27</v>
      </c>
      <c r="W29" s="12" t="inlineStr">
        <is>
          <t>Elbow 90 Long</t>
        </is>
      </c>
      <c r="X29" s="12" t="n">
        <v>12</v>
      </c>
      <c r="Y29" s="12" t="inlineStr">
        <is>
          <t>G1A-3</t>
        </is>
      </c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</row>
    <row r="30">
      <c r="A30" s="12" t="inlineStr">
        <is>
          <t>C1</t>
        </is>
      </c>
      <c r="B30" s="12" t="inlineStr">
        <is>
          <t>V-093</t>
        </is>
      </c>
      <c r="C30" s="12" t="inlineStr">
        <is>
          <t>C:\Users\pmenon2\Music\procalc-main\Hydraulics\HMB.xlsx</t>
        </is>
      </c>
      <c r="D30" s="12" t="n"/>
      <c r="E30" s="12" t="inlineStr">
        <is>
          <t>T810-OH</t>
        </is>
      </c>
      <c r="F30" s="12" t="inlineStr">
        <is>
          <t>Main</t>
        </is>
      </c>
      <c r="G30" s="12" t="n">
        <v>4</v>
      </c>
      <c r="H30" s="12" t="n"/>
      <c r="I30" s="12" t="n"/>
      <c r="J30" s="12" t="n"/>
      <c r="K30" s="12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n">
        <v>28</v>
      </c>
      <c r="W30" s="12" t="inlineStr">
        <is>
          <t>Straight Pipeline</t>
        </is>
      </c>
      <c r="X30" s="12" t="n">
        <v>12</v>
      </c>
      <c r="Y30" s="12" t="inlineStr">
        <is>
          <t>G1A-3</t>
        </is>
      </c>
      <c r="Z30" s="12" t="n">
        <v>10.3</v>
      </c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</row>
    <row r="31">
      <c r="A31" s="12" t="inlineStr">
        <is>
          <t>C1</t>
        </is>
      </c>
      <c r="B31" s="12" t="inlineStr">
        <is>
          <t>V-093</t>
        </is>
      </c>
      <c r="C31" s="12" t="inlineStr">
        <is>
          <t>C:\Users\pmenon2\Music\procalc-main\Hydraulics\HMB.xlsx</t>
        </is>
      </c>
      <c r="D31" s="12" t="n"/>
      <c r="E31" s="12" t="inlineStr">
        <is>
          <t>T810-OH</t>
        </is>
      </c>
      <c r="F31" s="12" t="inlineStr">
        <is>
          <t>Main</t>
        </is>
      </c>
      <c r="G31" s="12" t="n">
        <v>5</v>
      </c>
      <c r="H31" s="12" t="n"/>
      <c r="I31" s="12" t="n"/>
      <c r="J31" s="12" t="n"/>
      <c r="K31" s="12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2" t="n">
        <v>29</v>
      </c>
      <c r="W31" s="12" t="inlineStr">
        <is>
          <t>Elbow 45 Long</t>
        </is>
      </c>
      <c r="X31" s="12" t="n">
        <v>12</v>
      </c>
      <c r="Y31" s="12" t="inlineStr">
        <is>
          <t>G1A-3</t>
        </is>
      </c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</row>
    <row r="32">
      <c r="A32" s="12" t="inlineStr">
        <is>
          <t>C1</t>
        </is>
      </c>
      <c r="B32" s="12" t="inlineStr">
        <is>
          <t>V-093</t>
        </is>
      </c>
      <c r="C32" s="12" t="inlineStr">
        <is>
          <t>C:\Users\pmenon2\Music\procalc-main\Hydraulics\HMB.xlsx</t>
        </is>
      </c>
      <c r="D32" s="12" t="n"/>
      <c r="E32" s="12" t="inlineStr">
        <is>
          <t>T810-OH</t>
        </is>
      </c>
      <c r="F32" s="12" t="inlineStr">
        <is>
          <t>Main</t>
        </is>
      </c>
      <c r="G32" s="12" t="n">
        <v>6</v>
      </c>
      <c r="H32" s="12" t="n"/>
      <c r="I32" s="12" t="n"/>
      <c r="J32" s="12" t="n"/>
      <c r="K32" s="12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2" t="n">
        <v>30</v>
      </c>
      <c r="W32" s="12" t="inlineStr">
        <is>
          <t>Straight Pipeline</t>
        </is>
      </c>
      <c r="X32" s="12" t="n">
        <v>12</v>
      </c>
      <c r="Y32" s="12" t="inlineStr">
        <is>
          <t>G1A-3</t>
        </is>
      </c>
      <c r="Z32" s="12" t="n">
        <v>0.5</v>
      </c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</row>
    <row r="33">
      <c r="A33" s="12" t="inlineStr">
        <is>
          <t>C1</t>
        </is>
      </c>
      <c r="B33" s="12" t="inlineStr">
        <is>
          <t>V-093</t>
        </is>
      </c>
      <c r="C33" s="12" t="inlineStr">
        <is>
          <t>C:\Users\pmenon2\Music\procalc-main\Hydraulics\HMB.xlsx</t>
        </is>
      </c>
      <c r="D33" s="12" t="n"/>
      <c r="E33" s="12" t="inlineStr">
        <is>
          <t>T810-OH</t>
        </is>
      </c>
      <c r="F33" s="12" t="inlineStr">
        <is>
          <t>Main</t>
        </is>
      </c>
      <c r="G33" s="12" t="n">
        <v>7</v>
      </c>
      <c r="H33" s="12" t="n"/>
      <c r="I33" s="12" t="n"/>
      <c r="J33" s="12" t="n"/>
      <c r="K33" s="12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2" t="n">
        <v>31</v>
      </c>
      <c r="W33" s="12" t="inlineStr">
        <is>
          <t>Elbow 90 Long</t>
        </is>
      </c>
      <c r="X33" s="12" t="n">
        <v>12</v>
      </c>
      <c r="Y33" s="12" t="inlineStr">
        <is>
          <t>G1A-3</t>
        </is>
      </c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</row>
    <row r="34">
      <c r="A34" s="12" t="inlineStr">
        <is>
          <t>C1</t>
        </is>
      </c>
      <c r="B34" s="12" t="inlineStr">
        <is>
          <t>V-093</t>
        </is>
      </c>
      <c r="C34" s="12" t="inlineStr">
        <is>
          <t>C:\Users\pmenon2\Music\procalc-main\Hydraulics\HMB.xlsx</t>
        </is>
      </c>
      <c r="D34" s="12" t="n"/>
      <c r="E34" s="12" t="inlineStr">
        <is>
          <t>T810-OH</t>
        </is>
      </c>
      <c r="F34" s="12" t="inlineStr">
        <is>
          <t>Main</t>
        </is>
      </c>
      <c r="G34" s="12" t="n">
        <v>8</v>
      </c>
      <c r="H34" s="12" t="n"/>
      <c r="I34" s="12" t="n"/>
      <c r="J34" s="12" t="n"/>
      <c r="K34" s="12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2" t="n">
        <v>32</v>
      </c>
      <c r="W34" s="12" t="inlineStr">
        <is>
          <t>Straight Pipeline</t>
        </is>
      </c>
      <c r="X34" s="12" t="n">
        <v>12</v>
      </c>
      <c r="Y34" s="12" t="inlineStr">
        <is>
          <t>G1A-3</t>
        </is>
      </c>
      <c r="Z34" s="12" t="n">
        <v>1.3</v>
      </c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</row>
    <row r="35">
      <c r="A35" s="12" t="inlineStr">
        <is>
          <t>C1</t>
        </is>
      </c>
      <c r="B35" s="12" t="inlineStr">
        <is>
          <t>V-093</t>
        </is>
      </c>
      <c r="C35" s="12" t="inlineStr">
        <is>
          <t>C:\Users\pmenon2\Music\procalc-main\Hydraulics\HMB.xlsx</t>
        </is>
      </c>
      <c r="D35" s="12" t="n"/>
      <c r="E35" s="12" t="inlineStr">
        <is>
          <t>T810-OH</t>
        </is>
      </c>
      <c r="F35" s="12" t="inlineStr">
        <is>
          <t>Main</t>
        </is>
      </c>
      <c r="G35" s="12" t="n">
        <v>9</v>
      </c>
      <c r="H35" s="12" t="n"/>
      <c r="I35" s="12" t="n"/>
      <c r="J35" s="12" t="n"/>
      <c r="K35" s="12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2" t="n">
        <v>33</v>
      </c>
      <c r="W35" s="12" t="inlineStr">
        <is>
          <t>Pipeline Exit - Sharp Edge</t>
        </is>
      </c>
      <c r="X35" s="12" t="n">
        <v>12</v>
      </c>
      <c r="Y35" s="12" t="inlineStr">
        <is>
          <t>G1A-3</t>
        </is>
      </c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</row>
  </sheetData>
  <autoFilter ref="A2:AK2"/>
  <mergeCells count="1">
    <mergeCell ref="A1:AK1"/>
  </mergeCells>
  <dataValidations count="2">
    <dataValidation sqref="F3:F2000" showDropDown="0" showInputMessage="0" showErrorMessage="0" allowBlank="1" type="list">
      <formula1>"Main,Branch"</formula1>
    </dataValidation>
    <dataValidation sqref="AI3:AI2000" showDropDown="0" showInputMessage="0" showErrorMessage="1" allowBlank="1" errorTitle="Control Valve Type" error="F=flow, P=pressure, T=temperature, L=level control" type="list">
      <formula1>"F,P,T,L"</formula1>
    </dataValidation>
  </dataValidations>
  <pageMargins left="0.75" right="0.75" top="1" bottom="1" header="0.5" footer="0.5"/>
  <headerFooter>
    <oddHeader>&amp;L&amp;"Aptos"&amp;1 &amp;K000000 TechnipEnergies | General | Anyone - No Protection#_x000d_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Entrance - Bell Mouth</t>
        </is>
      </c>
    </row>
    <row r="2">
      <c r="A2" t="inlineStr">
        <is>
          <t>Pipeline Entrance - Inward Projecting</t>
        </is>
      </c>
    </row>
    <row r="3">
      <c r="A3" t="inlineStr">
        <is>
          <t>Pipeline Entrance - Sharp Edge</t>
        </is>
      </c>
    </row>
    <row r="4">
      <c r="A4" t="inlineStr">
        <is>
          <t>Pipeline Entrance - Slightly Rounded</t>
        </is>
      </c>
    </row>
    <row r="5">
      <c r="A5" t="inlineStr">
        <is>
          <t>Pipeline Entrance - Well Rounded</t>
        </is>
      </c>
    </row>
    <row r="6">
      <c r="A6" t="inlineStr">
        <is>
          <t>Pipeline Exit - Outward Projecting</t>
        </is>
      </c>
    </row>
    <row r="7">
      <c r="A7" t="inlineStr">
        <is>
          <t>Pipeline Exit - Rounded</t>
        </is>
      </c>
    </row>
    <row r="8">
      <c r="A8" t="inlineStr">
        <is>
          <t>Pipeline Exit - Sharp Edge</t>
        </is>
      </c>
    </row>
    <row r="9">
      <c r="A9" t="inlineStr">
        <is>
          <t>Elbow 45 Long</t>
        </is>
      </c>
    </row>
    <row r="10">
      <c r="A10" t="inlineStr">
        <is>
          <t>Elbow 45 Short</t>
        </is>
      </c>
    </row>
    <row r="11">
      <c r="A11" t="inlineStr">
        <is>
          <t>Elbow 90 Long</t>
        </is>
      </c>
    </row>
    <row r="12">
      <c r="A12" t="inlineStr">
        <is>
          <t>Elbow 90 Short</t>
        </is>
      </c>
    </row>
    <row r="13">
      <c r="A13" t="inlineStr">
        <is>
          <t>Elbow Miter</t>
        </is>
      </c>
    </row>
    <row r="14">
      <c r="A14" t="inlineStr">
        <is>
          <t>Elbow Long Return</t>
        </is>
      </c>
    </row>
    <row r="15">
      <c r="A15" t="inlineStr">
        <is>
          <t>Elbow Short Return</t>
        </is>
      </c>
    </row>
    <row r="16">
      <c r="A16" t="inlineStr">
        <is>
          <t>Gate Half Open</t>
        </is>
      </c>
    </row>
    <row r="17">
      <c r="A17" t="inlineStr">
        <is>
          <t>Gate One Quarter Open</t>
        </is>
      </c>
    </row>
    <row r="18">
      <c r="A18" t="inlineStr">
        <is>
          <t>Gate Three Quarter Open</t>
        </is>
      </c>
    </row>
    <row r="19">
      <c r="A19" t="inlineStr">
        <is>
          <t>Gate Full Open</t>
        </is>
      </c>
    </row>
    <row r="20">
      <c r="A20" t="inlineStr">
        <is>
          <t>Globe Half Open</t>
        </is>
      </c>
    </row>
    <row r="21">
      <c r="A21" t="inlineStr">
        <is>
          <t>Globe One Quarter Open</t>
        </is>
      </c>
    </row>
    <row r="22">
      <c r="A22" t="inlineStr">
        <is>
          <t>Globe Three Quarter Open</t>
        </is>
      </c>
    </row>
    <row r="23">
      <c r="A23" t="inlineStr">
        <is>
          <t>Globe Full Open</t>
        </is>
      </c>
    </row>
    <row r="24">
      <c r="A24" t="inlineStr">
        <is>
          <t>Ball Half Open</t>
        </is>
      </c>
    </row>
    <row r="25">
      <c r="A25" t="inlineStr">
        <is>
          <t>Ball One Quarter Open</t>
        </is>
      </c>
    </row>
    <row r="26">
      <c r="A26" t="inlineStr">
        <is>
          <t>Ball Three Quarter Open</t>
        </is>
      </c>
    </row>
    <row r="27">
      <c r="A27" t="inlineStr">
        <is>
          <t>Ball Full Open</t>
        </is>
      </c>
    </row>
    <row r="28">
      <c r="A28" t="inlineStr">
        <is>
          <t>Butterfly Half Open</t>
        </is>
      </c>
    </row>
    <row r="29">
      <c r="A29" t="inlineStr">
        <is>
          <t>Butterfly One Quarter Open</t>
        </is>
      </c>
    </row>
    <row r="30">
      <c r="A30" t="inlineStr">
        <is>
          <t>Butterfly Three Quarter Open</t>
        </is>
      </c>
    </row>
    <row r="31">
      <c r="A31" t="inlineStr">
        <is>
          <t>Butterfly Full Open</t>
        </is>
      </c>
    </row>
    <row r="32">
      <c r="A32" t="inlineStr">
        <is>
          <t>Angle No Obstruction</t>
        </is>
      </c>
    </row>
    <row r="33">
      <c r="A33" t="inlineStr">
        <is>
          <t>Angle Wing Pin</t>
        </is>
      </c>
    </row>
    <row r="34">
      <c r="A34" t="inlineStr">
        <is>
          <t>Check Angle Lift Stop</t>
        </is>
      </c>
    </row>
    <row r="35">
      <c r="A35" t="inlineStr">
        <is>
          <t>Check Clear Way Swing</t>
        </is>
      </c>
    </row>
    <row r="36">
      <c r="A36" t="inlineStr">
        <is>
          <t>Check Conventional Swing</t>
        </is>
      </c>
    </row>
    <row r="37">
      <c r="A37" t="inlineStr">
        <is>
          <t>Check Global Lift Stop</t>
        </is>
      </c>
    </row>
    <row r="38">
      <c r="A38" t="inlineStr">
        <is>
          <t>Check Inline Ball</t>
        </is>
      </c>
    </row>
    <row r="39">
      <c r="A39" t="inlineStr">
        <is>
          <t>Check T or Y</t>
        </is>
      </c>
    </row>
    <row r="40">
      <c r="A40" t="inlineStr">
        <is>
          <t>Expander</t>
        </is>
      </c>
    </row>
    <row r="41">
      <c r="A41" t="inlineStr">
        <is>
          <t>Reducer</t>
        </is>
      </c>
    </row>
    <row r="42">
      <c r="A42" t="inlineStr">
        <is>
          <t>Sudden Contraction</t>
        </is>
      </c>
    </row>
    <row r="43">
      <c r="A43" t="inlineStr">
        <is>
          <t>Sudden Enlargement</t>
        </is>
      </c>
    </row>
    <row r="44">
      <c r="A44" t="inlineStr">
        <is>
          <t>Tee Join Branch Flow 1</t>
        </is>
      </c>
    </row>
    <row r="45">
      <c r="A45" t="inlineStr">
        <is>
          <t>Tee Join Branch Flow 2</t>
        </is>
      </c>
    </row>
    <row r="46">
      <c r="A46" t="inlineStr">
        <is>
          <t>Tee Join Line Flow</t>
        </is>
      </c>
    </row>
    <row r="47">
      <c r="A47" t="inlineStr">
        <is>
          <t>Tee Split Branch Flow 1</t>
        </is>
      </c>
    </row>
    <row r="48">
      <c r="A48" t="inlineStr">
        <is>
          <t>Tee Split Branch Flow 2</t>
        </is>
      </c>
    </row>
    <row r="49">
      <c r="A49" t="inlineStr">
        <is>
          <t>Tee Split Line Flow</t>
        </is>
      </c>
    </row>
    <row r="50">
      <c r="A50" t="inlineStr">
        <is>
          <t>Fix Pressure</t>
        </is>
      </c>
    </row>
    <row r="51">
      <c r="A51" t="inlineStr">
        <is>
          <t>Fix K</t>
        </is>
      </c>
    </row>
    <row r="52">
      <c r="A52" t="inlineStr">
        <is>
          <t>Nozzle</t>
        </is>
      </c>
    </row>
    <row r="53">
      <c r="A53" t="inlineStr">
        <is>
          <t>Orifice</t>
        </is>
      </c>
    </row>
    <row r="54">
      <c r="A54" t="inlineStr">
        <is>
          <t>Straight Pipeline</t>
        </is>
      </c>
    </row>
    <row r="55">
      <c r="A55" t="inlineStr">
        <is>
          <t>Venturi</t>
        </is>
      </c>
    </row>
    <row r="56">
      <c r="A56" t="inlineStr">
        <is>
          <t>Source</t>
        </is>
      </c>
    </row>
    <row r="57">
      <c r="A57" t="inlineStr">
        <is>
          <t>Control Valve</t>
        </is>
      </c>
    </row>
    <row r="58">
      <c r="A58" t="inlineStr">
        <is>
          <t>Destination</t>
        </is>
      </c>
    </row>
  </sheetData>
  <pageMargins left="0.75" right="0.75" top="1" bottom="1" header="0.5" footer="0.5"/>
  <headerFooter>
    <oddHeader>&amp;L&amp;"Aptos"&amp;1 &amp;K000000 TechnipEnergies | General | Anyone - No Protection#_x000d_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4"/>
  <sheetViews>
    <sheetView showGridLines="0" workbookViewId="0">
      <selection activeCell="A1" sqref="A1"/>
    </sheetView>
  </sheetViews>
  <sheetFormatPr baseColWidth="8" defaultRowHeight="15"/>
  <cols>
    <col width="110" customWidth="1" style="17" min="1" max="1"/>
  </cols>
  <sheetData>
    <row r="1">
      <c r="A1" s="2" t="inlineStr">
        <is>
          <t>NO-ISO PIPELINE INPUT — QUICK REFERENCE</t>
        </is>
      </c>
    </row>
    <row r="2">
      <c r="A2" s="3" t="n"/>
    </row>
    <row r="3">
      <c r="A3" s="2" t="inlineStr">
        <is>
          <t>CIRCUIT (column A)</t>
        </is>
      </c>
    </row>
    <row r="4">
      <c r="A4" s="3" t="inlineStr">
        <is>
          <t xml:space="preserve">  All rows with the same Circuit ID (e.g. C1) are treated as ONE hydraulic series path.</t>
        </is>
      </c>
    </row>
    <row r="5">
      <c r="A5" s="3" t="inlineStr">
        <is>
          <t xml:space="preserve">  Lines are chained in the ORDER they appear in this sheet.</t>
        </is>
      </c>
    </row>
    <row r="6">
      <c r="A6" s="3" t="inlineStr">
        <is>
          <t xml:space="preserve">  The engine produces ONE workbook per circuit.</t>
        </is>
      </c>
    </row>
    <row r="7">
      <c r="A7" s="3" t="inlineStr">
        <is>
          <t xml:space="preserve">  Stream Lookup, HMB File, Case and Start P need only be filled on the FIRST row of the circuit.</t>
        </is>
      </c>
    </row>
    <row r="8">
      <c r="A8" s="3" t="n"/>
    </row>
    <row r="9">
      <c r="A9" s="2" t="inlineStr">
        <is>
          <t>HMB FILE &amp; CASE</t>
        </is>
      </c>
    </row>
    <row r="10">
      <c r="A10" s="3" t="inlineStr">
        <is>
          <t xml:space="preserve">  HMB File and Case override the command-line defaults per row (carried forward within a circuit).</t>
        </is>
      </c>
    </row>
    <row r="11">
      <c r="A11" s="3" t="inlineStr">
        <is>
          <t xml:space="preserve">  This lets ONE circuit mix multiple streams / cases / HMB workbooks.</t>
        </is>
      </c>
    </row>
    <row r="12">
      <c r="A12" s="3" t="inlineStr">
        <is>
          <t xml:space="preserve">  CLI default case is set with  --case "Case 1".</t>
        </is>
      </c>
    </row>
    <row r="13">
      <c r="A13" s="3" t="n"/>
    </row>
    <row r="14">
      <c r="A14" s="2" t="inlineStr">
        <is>
          <t>MANUAL STREAM PROPERTIES (yellow cells)</t>
        </is>
      </c>
    </row>
    <row r="15">
      <c r="A15" s="3" t="inlineStr">
        <is>
          <t xml:space="preserve">  Leave Stream Lookup BLANK to enter properties by hand in the yellow columns.</t>
        </is>
      </c>
    </row>
    <row r="16">
      <c r="A16" s="3" t="inlineStr">
        <is>
          <t xml:space="preserve">  Fill Temp, Vapor Mass Flow, Vap MW/Visc/Z/Cp-Cv/Density and (optionally) the Liq columns.</t>
        </is>
      </c>
    </row>
    <row r="17">
      <c r="A17" s="3" t="inlineStr">
        <is>
          <t xml:space="preserve">  The engine synthesises a frozen flash split from these numbers — no HMB needed.</t>
        </is>
      </c>
    </row>
    <row r="18">
      <c r="A18" s="3" t="n"/>
    </row>
    <row r="19">
      <c r="A19" s="2" t="inlineStr">
        <is>
          <t>FLOW FRACTION FROM MAIN (Tee split / merge)</t>
        </is>
      </c>
    </row>
    <row r="20">
      <c r="A20" s="3" t="inlineStr">
        <is>
          <t xml:space="preserve">  On a Tee fitting row, enter a SIGNED fraction of the Main flow:</t>
        </is>
      </c>
    </row>
    <row r="21">
      <c r="A21" s="3" t="inlineStr">
        <is>
          <t xml:space="preserve">    negative  = SPLIT  (that fraction leaves the line)</t>
        </is>
      </c>
    </row>
    <row r="22">
      <c r="A22" s="3" t="inlineStr">
        <is>
          <t xml:space="preserve">    positive  = MERGE  (that fraction joins the line)</t>
        </is>
      </c>
    </row>
    <row r="23">
      <c r="A23" s="3" t="inlineStr">
        <is>
          <t xml:space="preserve">  The running vapour &amp; liquid mass flows are scaled in Seq order; downstream dP follows.</t>
        </is>
      </c>
    </row>
    <row r="24">
      <c r="A24" s="3" t="n"/>
    </row>
    <row r="25">
      <c r="A25" s="2" t="inlineStr">
        <is>
          <t>MULTIPLE LINES IN SERIES</t>
        </is>
      </c>
    </row>
    <row r="26">
      <c r="A26" s="3" t="inlineStr">
        <is>
          <t xml:space="preserve">  Change Line No to mark a new pipe line.  Keep Circuit the same.</t>
        </is>
      </c>
    </row>
    <row r="27">
      <c r="A27" s="3" t="inlineStr">
        <is>
          <t xml:space="preserve">  The outlet pressure of the last component of Line N becomes the inlet pressure of Line N+1.</t>
        </is>
      </c>
    </row>
    <row r="28">
      <c r="A28" s="3" t="n"/>
    </row>
    <row r="29">
      <c r="A29" s="2" t="inlineStr">
        <is>
          <t>FITTINGS</t>
        </is>
      </c>
    </row>
    <row r="30">
      <c r="A30" s="3" t="inlineStr">
        <is>
          <t xml:space="preserve">  Select from the Fitting Name drop-down.  K values applied automatically.</t>
        </is>
      </c>
    </row>
    <row r="31">
      <c r="A31" s="3" t="n"/>
    </row>
    <row r="32">
      <c r="A32" s="2" t="inlineStr">
        <is>
          <t>FIX K  (Fitting = 'Fix K')</t>
        </is>
      </c>
    </row>
    <row r="33">
      <c r="A33" s="3" t="inlineStr">
        <is>
          <t xml:space="preserve">  Enter K in the Fixed K column.  Darcy-Weisbach friction and elevation terms still apply.</t>
        </is>
      </c>
    </row>
    <row r="34">
      <c r="A34" s="3" t="n"/>
    </row>
    <row r="35">
      <c r="A35" s="2" t="inlineStr">
        <is>
          <t>FIX PRESSURE  (Fitting = 'Fix Pressure')</t>
        </is>
      </c>
    </row>
    <row r="36">
      <c r="A36" s="3" t="inlineStr">
        <is>
          <t xml:space="preserve">  Enter dP (psi) in Fixed dP.  All hydraulics skipped; dP subtracted directly.</t>
        </is>
      </c>
    </row>
    <row r="37">
      <c r="A37" s="3" t="n"/>
    </row>
    <row r="38">
      <c r="A38" s="2" t="inlineStr">
        <is>
          <t>FLOW ORIFICE  (Instr Type = FO)</t>
        </is>
      </c>
    </row>
    <row r="39">
      <c r="A39" s="3" t="inlineStr">
        <is>
          <t xml:space="preserve">  Set Instr Type = FO.  Enter rated dP in Instr dP (psi).</t>
        </is>
      </c>
    </row>
    <row r="40">
      <c r="A40" s="3" t="n"/>
    </row>
    <row r="41">
      <c r="A41" s="2" t="inlineStr">
        <is>
          <t>SOURCE / DESTINATION  (boundary fittings)</t>
        </is>
      </c>
    </row>
    <row r="42">
      <c r="A42" s="3" t="inlineStr">
        <is>
          <t xml:space="preserve">  Source: enter the upstream pressure in 'Set P (psia)' — it anchors the circuit inlet pressure.</t>
        </is>
      </c>
    </row>
    <row r="43">
      <c r="A43" s="3" t="inlineStr">
        <is>
          <t xml:space="preserve">  Destination: enter the downstream pressure in 'Set P (psia)' — the target the circuit must reach.</t>
        </is>
      </c>
    </row>
    <row r="44">
      <c r="A44" s="3" t="inlineStr">
        <is>
          <t xml:space="preserve">  If BOTH are filled, a Control Valve placed between them absorbs the pressure difference.</t>
        </is>
      </c>
    </row>
    <row r="45">
      <c r="A45" s="3" t="inlineStr">
        <is>
          <t xml:space="preserve">  If only one is filled, the pressure is taken from that single value.</t>
        </is>
      </c>
    </row>
    <row r="46">
      <c r="A46" s="3" t="n"/>
    </row>
    <row r="47">
      <c r="A47" s="2" t="inlineStr">
        <is>
          <t>CONTROL VALVE  (Fitting = 'Control Valve')</t>
        </is>
      </c>
    </row>
    <row r="48">
      <c r="A48" s="3" t="inlineStr">
        <is>
          <t xml:space="preserve">  Set 'Control Valve Type' = F (flow), P (pressure), T (temperature) or L (level).</t>
        </is>
      </c>
    </row>
    <row r="49">
      <c r="A49" s="3" t="inlineStr">
        <is>
          <t xml:space="preserve">  F (flow): ΔP floats so the running pressure lands on the downstream Destination 'Set P'.</t>
        </is>
      </c>
    </row>
    <row r="50">
      <c r="A50" s="3" t="inlineStr">
        <is>
          <t xml:space="preserve">  P / L: fixed design ΔP — enter it in 'Fixed dP (psi)' (or a resistance in 'Fixed K').</t>
        </is>
      </c>
    </row>
    <row r="51">
      <c r="A51" s="3" t="inlineStr">
        <is>
          <t xml:space="preserve">  T (temperature): like a fixed ΔP, but floored at 'Exch Max Allow dP (psi)' (exchanger limit).</t>
        </is>
      </c>
    </row>
    <row r="52">
      <c r="A52" s="3" t="inlineStr">
        <is>
          <t xml:space="preserve">  β ratio = valve Bore (in) ÷ upstream line bore is reported in the Notes column.</t>
        </is>
      </c>
    </row>
    <row r="53">
      <c r="A53" s="3" t="inlineStr">
        <is>
          <t xml:space="preserve">  SERIES valves: place several Control Valve rows in Seq order on the same run.</t>
        </is>
      </c>
    </row>
    <row r="54">
      <c r="A54" s="3" t="inlineStr">
        <is>
          <t xml:space="preserve">  PARALLEL valves: split flow at a Tee (negative 'Flow Fraction from Main'), put one Control</t>
        </is>
      </c>
    </row>
    <row r="55">
      <c r="A55" s="3" t="inlineStr">
        <is>
          <t xml:space="preserve">    Valve on the Main leg and one on a Branch (Run Type = Branch, with its own Start P).</t>
        </is>
      </c>
    </row>
    <row r="56">
      <c r="A56" s="3" t="n"/>
    </row>
    <row r="57">
      <c r="A57" s="2" t="inlineStr">
        <is>
          <t>BRANCHES</t>
        </is>
      </c>
    </row>
    <row r="58">
      <c r="A58" s="3" t="inlineStr">
        <is>
          <t xml:space="preserve">  Set Run Type = Branch.  Fill Start P on the first Branch row.</t>
        </is>
      </c>
    </row>
    <row r="59">
      <c r="A59" s="3" t="inlineStr">
        <is>
          <t xml:space="preserve">  Branches are marched independently.  FIV/AIV/regime sheets use the Main run.</t>
        </is>
      </c>
    </row>
    <row r="60">
      <c r="A60" s="3" t="n"/>
    </row>
    <row r="61">
      <c r="A61" s="2" t="inlineStr">
        <is>
          <t>UNITS</t>
        </is>
      </c>
    </row>
    <row r="62">
      <c r="A62" s="3" t="inlineStr">
        <is>
          <t xml:space="preserve">  This workbook is in FPS units (see the UNITS sheet).</t>
        </is>
      </c>
    </row>
    <row r="63">
      <c r="A63" s="3" t="inlineStr">
        <is>
          <t xml:space="preserve">  Change the Unit System cell (or per-quantity overrides) on the UNITS sheet and enter values accordingly —</t>
        </is>
      </c>
    </row>
    <row r="64">
      <c r="A64" s="3" t="inlineStr">
        <is>
          <t xml:space="preserve">  the engine reads the UNITS sheet and presents all results in the same units.  Bore/NPS is ALWAYS inches.</t>
        </is>
      </c>
    </row>
  </sheetData>
  <pageMargins left="0.75" right="0.75" top="1" bottom="1" header="0.5" footer="0.5"/>
  <headerFooter>
    <oddHeader>&amp;L&amp;"Aptos"&amp;1 &amp;K000000 TechnipEnergies | General | Anyone - No Protection#_x000d_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D60"/>
  <sheetViews>
    <sheetView showGridLines="0" workbookViewId="0">
      <selection activeCell="A1" sqref="A1:D1"/>
    </sheetView>
  </sheetViews>
  <sheetFormatPr baseColWidth="8" defaultRowHeight="15"/>
  <cols>
    <col width="10" customWidth="1" style="17" min="1" max="1"/>
    <col width="30" customWidth="1" style="17" min="2" max="2"/>
    <col width="22" customWidth="1" style="17" min="3" max="3"/>
    <col width="70" customWidth="1" style="17" min="4" max="4"/>
  </cols>
  <sheetData>
    <row r="1" ht="21.95" customHeight="1" s="17">
      <c r="A1" s="16" t="inlineStr">
        <is>
          <t>UNITS  —  choose FPS or SI; per-quantity overrides optional</t>
        </is>
      </c>
    </row>
    <row r="2"/>
    <row r="3">
      <c r="A3" s="4" t="inlineStr">
        <is>
          <t>Unit System</t>
        </is>
      </c>
      <c r="B3" s="5" t="inlineStr">
        <is>
          <t>FPS</t>
        </is>
      </c>
      <c r="C3" s="6" t="inlineStr">
        <is>
          <t>← FPS or SI.  All inputs read &amp; all results written in these units.</t>
        </is>
      </c>
    </row>
    <row r="4"/>
    <row r="5">
      <c r="A5" s="7" t="inlineStr">
        <is>
          <t>Qty code</t>
        </is>
      </c>
      <c r="B5" s="7" t="inlineStr">
        <is>
          <t>Quantity</t>
        </is>
      </c>
      <c r="C5" s="7" t="inlineStr">
        <is>
          <t>Unit override (optional)</t>
        </is>
      </c>
      <c r="D5" s="7" t="inlineStr">
        <is>
          <t>Options</t>
        </is>
      </c>
    </row>
    <row r="6">
      <c r="A6" s="8" t="inlineStr">
        <is>
          <t>P</t>
        </is>
      </c>
      <c r="B6" s="6" t="inlineStr">
        <is>
          <t>Pressure (absolute)</t>
        </is>
      </c>
      <c r="C6" s="9" t="n"/>
      <c r="D6" s="10" t="inlineStr">
        <is>
          <t>default: psia   |   psia | psig | kPa | kPag | MPa | bara | barg | kg/cm2a | kg/cm2g</t>
        </is>
      </c>
    </row>
    <row r="7">
      <c r="A7" s="8" t="inlineStr">
        <is>
          <t>dP</t>
        </is>
      </c>
      <c r="B7" s="6" t="inlineStr">
        <is>
          <t>Pressure drop</t>
        </is>
      </c>
      <c r="C7" s="9" t="n"/>
      <c r="D7" s="10" t="inlineStr">
        <is>
          <t>default: psi   |   psi | kPa | bar | mbar | kg/cm2</t>
        </is>
      </c>
    </row>
    <row r="8">
      <c r="A8" s="8" t="inlineStr">
        <is>
          <t>T</t>
        </is>
      </c>
      <c r="B8" s="6" t="inlineStr">
        <is>
          <t>Temperature</t>
        </is>
      </c>
      <c r="C8" s="9" t="n"/>
      <c r="D8" s="10" t="inlineStr">
        <is>
          <t>default: degF   |   degF | °F | degC | °C | K</t>
        </is>
      </c>
    </row>
    <row r="9">
      <c r="A9" s="8" t="inlineStr">
        <is>
          <t>dT</t>
        </is>
      </c>
      <c r="B9" s="6" t="inlineStr">
        <is>
          <t>Temperature difference</t>
        </is>
      </c>
      <c r="C9" s="9" t="n"/>
      <c r="D9" s="10" t="inlineStr">
        <is>
          <t>default: degF   |   degF | degC | K</t>
        </is>
      </c>
    </row>
    <row r="10">
      <c r="A10" s="8" t="inlineStr">
        <is>
          <t>mflow</t>
        </is>
      </c>
      <c r="B10" s="6" t="inlineStr">
        <is>
          <t>Mass flow</t>
        </is>
      </c>
      <c r="C10" s="9" t="n"/>
      <c r="D10" s="10" t="inlineStr">
        <is>
          <t>default: lb/hr   |   lb/hr | lb/h | kg/hr | kg/h | kg/s | t/h</t>
        </is>
      </c>
    </row>
    <row r="11">
      <c r="A11" s="8" t="inlineStr">
        <is>
          <t>molflow</t>
        </is>
      </c>
      <c r="B11" s="6" t="inlineStr">
        <is>
          <t>Molar flow</t>
        </is>
      </c>
      <c r="C11" s="9" t="n"/>
      <c r="D11" s="10" t="inlineStr">
        <is>
          <t>default: lb-mol/hr   |   lb-mol/hr | kgmol/hr | kmol/h</t>
        </is>
      </c>
    </row>
    <row r="12">
      <c r="A12" s="8" t="inlineStr">
        <is>
          <t>rho</t>
        </is>
      </c>
      <c r="B12" s="6" t="inlineStr">
        <is>
          <t>Density</t>
        </is>
      </c>
      <c r="C12" s="9" t="n"/>
      <c r="D12" s="10" t="inlineStr">
        <is>
          <t>default: lb/ft3   |   lb/ft3 | lb/ft³ | kg/m3 | kg/m³</t>
        </is>
      </c>
    </row>
    <row r="13">
      <c r="A13" s="8" t="inlineStr">
        <is>
          <t>L</t>
        </is>
      </c>
      <c r="B13" s="6" t="inlineStr">
        <is>
          <t>Length / elevation</t>
        </is>
      </c>
      <c r="C13" s="9" t="n"/>
      <c r="D13" s="10" t="inlineStr">
        <is>
          <t>default: ft   |   ft | m | mm</t>
        </is>
      </c>
    </row>
    <row r="14">
      <c r="A14" s="8" t="inlineStr">
        <is>
          <t>Lin</t>
        </is>
      </c>
      <c r="B14" s="6" t="inlineStr">
        <is>
          <t>Bore / small length</t>
        </is>
      </c>
      <c r="C14" s="9" t="n"/>
      <c r="D14" s="10" t="inlineStr">
        <is>
          <t>default: in   |   in | mm</t>
        </is>
      </c>
    </row>
    <row r="15">
      <c r="A15" s="8" t="inlineStr">
        <is>
          <t>A</t>
        </is>
      </c>
      <c r="B15" s="6" t="inlineStr">
        <is>
          <t>Surface area</t>
        </is>
      </c>
      <c r="C15" s="9" t="n"/>
      <c r="D15" s="10" t="inlineStr">
        <is>
          <t>default: ft2   |   ft2 | ft² | m2 | m²</t>
        </is>
      </c>
    </row>
    <row r="16">
      <c r="A16" s="8" t="inlineStr">
        <is>
          <t>Ain</t>
        </is>
      </c>
      <c r="B16" s="6" t="inlineStr">
        <is>
          <t>Orifice area</t>
        </is>
      </c>
      <c r="C16" s="9" t="n"/>
      <c r="D16" s="10" t="inlineStr">
        <is>
          <t>default: in2   |   in2 | in² | cm2 | cm² | mm2 | mm²</t>
        </is>
      </c>
    </row>
    <row r="17">
      <c r="A17" s="8" t="inlineStr">
        <is>
          <t>V</t>
        </is>
      </c>
      <c r="B17" s="6" t="inlineStr">
        <is>
          <t>Volume</t>
        </is>
      </c>
      <c r="C17" s="9" t="n"/>
      <c r="D17" s="10" t="inlineStr">
        <is>
          <t>default: ft3   |   ft3 | ft³ | m3 | m³ | L</t>
        </is>
      </c>
    </row>
    <row r="18">
      <c r="A18" s="8" t="inlineStr">
        <is>
          <t>Q</t>
        </is>
      </c>
      <c r="B18" s="6" t="inlineStr">
        <is>
          <t>Heat duty</t>
        </is>
      </c>
      <c r="C18" s="9" t="n"/>
      <c r="D18" s="10" t="inlineStr">
        <is>
          <t>default: BTU/hr   |   BTU/hr | kW | W | MW | MMBTU/hr | kcal/h</t>
        </is>
      </c>
    </row>
    <row r="19">
      <c r="A19" s="8" t="inlineStr">
        <is>
          <t>h</t>
        </is>
      </c>
      <c r="B19" s="6" t="inlineStr">
        <is>
          <t>Specific enthalpy / latent heat</t>
        </is>
      </c>
      <c r="C19" s="9" t="n"/>
      <c r="D19" s="10" t="inlineStr">
        <is>
          <t>default: BTU/lb   |   BTU/lb | kJ/kg | kcal/kg</t>
        </is>
      </c>
    </row>
    <row r="20">
      <c r="A20" s="8" t="inlineStr">
        <is>
          <t>v</t>
        </is>
      </c>
      <c r="B20" s="6" t="inlineStr">
        <is>
          <t>Velocity</t>
        </is>
      </c>
      <c r="C20" s="9" t="n"/>
      <c r="D20" s="10" t="inlineStr">
        <is>
          <t>default: ft/s   |   ft/s | m/s</t>
        </is>
      </c>
    </row>
    <row r="21">
      <c r="A21" s="8" t="inlineStr">
        <is>
          <t>qvol</t>
        </is>
      </c>
      <c r="B21" s="6" t="inlineStr">
        <is>
          <t>Volumetric flow</t>
        </is>
      </c>
      <c r="C21" s="9" t="n"/>
      <c r="D21" s="10" t="inlineStr">
        <is>
          <t>default: ft3/hr   |   ft3/hr | m3/h | gpm | m3/hr</t>
        </is>
      </c>
    </row>
    <row r="22">
      <c r="A22" s="8" t="inlineStr">
        <is>
          <t>visc</t>
        </is>
      </c>
      <c r="B22" s="6" t="inlineStr">
        <is>
          <t>Viscosity</t>
        </is>
      </c>
      <c r="C22" s="9" t="n"/>
      <c r="D22" s="10" t="inlineStr">
        <is>
          <t>default: cP   |   cP</t>
        </is>
      </c>
    </row>
    <row r="23">
      <c r="A23" s="8" t="inlineStr">
        <is>
          <t>MW</t>
        </is>
      </c>
      <c r="B23" s="6" t="inlineStr">
        <is>
          <t>Molecular weight</t>
        </is>
      </c>
      <c r="C23" s="9" t="n"/>
      <c r="D23" s="10" t="inlineStr">
        <is>
          <t>default: g/mol   |   g/mol</t>
        </is>
      </c>
    </row>
    <row r="24"/>
    <row r="25">
      <c r="A25" s="10" t="inlineStr">
        <is>
          <t>Leave overrides blank to use the system defaults. Overrides apply per quantity (e.g. P = barg while system = SI).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1">
    <mergeCell ref="A1:D1"/>
  </mergeCells>
  <dataValidations count="1">
    <dataValidation sqref="B3" showDropDown="0" showInputMessage="0" showErrorMessage="0" allowBlank="0" type="list">
      <formula1>"FPS,SI"</formula1>
    </dataValidation>
  </dataValidations>
  <pageMargins left="0.75" right="0.75" top="1" bottom="1" header="0.5" footer="0.5"/>
  <headerFooter>
    <oddHeader>&amp;L&amp;"Aptos"&amp;1 &amp;K000000 TechnipEnergies | General | Anyone - No Protection#_x000d_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style="17" min="1" max="1"/>
    <col width="14" customWidth="1" style="17" min="2" max="2"/>
    <col width="14" customWidth="1" style="17" min="3" max="3"/>
    <col width="14" customWidth="1" style="17" min="4" max="4"/>
    <col width="14" customWidth="1" style="17" min="5" max="5"/>
    <col width="14" customWidth="1" style="17" min="6" max="6"/>
    <col width="14" customWidth="1" style="17" min="7" max="7"/>
    <col width="14" customWidth="1" style="17" min="8" max="8"/>
    <col width="14" customWidth="1" style="17" min="9" max="9"/>
  </cols>
  <sheetData>
    <row r="1" ht="40" customHeight="1" s="17">
      <c r="A1" s="20" t="inlineStr">
        <is>
          <t>STREAM COMPOSITION  —  use when NOT referencing an HMB stream.  One COLUMN per phase of each inlet stream; Seq says where it enters the line.  Streams entering at different Seq (or in extra columns) are MIXED.  Component names = HMB 'COMPONENTS' sheet.</t>
        </is>
      </c>
    </row>
    <row r="2">
      <c r="A2" s="21" t="inlineStr">
        <is>
          <t>Circuit (optional)</t>
        </is>
      </c>
      <c r="B2" s="22" t="n"/>
      <c r="C2" s="22" t="n"/>
      <c r="D2" s="23" t="n"/>
      <c r="E2" s="23" t="n"/>
      <c r="F2" s="23" t="n"/>
      <c r="G2" s="23" t="n"/>
      <c r="H2" s="23" t="n"/>
      <c r="I2" s="23" t="n"/>
    </row>
    <row r="3">
      <c r="A3" s="21" t="inlineStr">
        <is>
          <t>Line No</t>
        </is>
      </c>
      <c r="B3" s="22" t="n"/>
      <c r="C3" s="22" t="n"/>
      <c r="D3" s="23" t="n"/>
      <c r="E3" s="23" t="n"/>
      <c r="F3" s="23" t="n"/>
      <c r="G3" s="23" t="n"/>
      <c r="H3" s="23" t="n"/>
      <c r="I3" s="23" t="n"/>
    </row>
    <row r="4">
      <c r="A4" s="21" t="inlineStr">
        <is>
          <t>Seq</t>
        </is>
      </c>
      <c r="B4" s="22" t="n"/>
      <c r="C4" s="22" t="n"/>
      <c r="D4" s="23" t="n"/>
      <c r="E4" s="23" t="n"/>
      <c r="F4" s="23" t="n"/>
      <c r="G4" s="23" t="n"/>
      <c r="H4" s="23" t="n"/>
      <c r="I4" s="23" t="n"/>
    </row>
    <row r="5">
      <c r="A5" s="21" t="inlineStr">
        <is>
          <t>Comp ID (optional)</t>
        </is>
      </c>
      <c r="B5" s="22" t="n"/>
      <c r="C5" s="22" t="n"/>
      <c r="D5" s="23" t="n"/>
      <c r="E5" s="23" t="n"/>
      <c r="F5" s="23" t="n"/>
      <c r="G5" s="23" t="n"/>
      <c r="H5" s="23" t="n"/>
      <c r="I5" s="23" t="n"/>
    </row>
    <row r="6">
      <c r="A6" s="21" t="inlineStr">
        <is>
          <t>Phase</t>
        </is>
      </c>
      <c r="B6" s="22" t="n"/>
      <c r="C6" s="22" t="n"/>
      <c r="D6" s="23" t="n"/>
      <c r="E6" s="23" t="n"/>
      <c r="F6" s="23" t="n"/>
      <c r="G6" s="23" t="n"/>
      <c r="H6" s="23" t="n"/>
      <c r="I6" s="23" t="n"/>
    </row>
    <row r="7">
      <c r="A7" s="21" t="inlineStr">
        <is>
          <t>Basis</t>
        </is>
      </c>
      <c r="B7" s="22" t="n"/>
      <c r="C7" s="22" t="n"/>
      <c r="D7" s="23" t="n"/>
      <c r="E7" s="23" t="n"/>
      <c r="F7" s="23" t="n"/>
      <c r="G7" s="23" t="n"/>
      <c r="H7" s="23" t="n"/>
      <c r="I7" s="23" t="n"/>
    </row>
    <row r="8">
      <c r="A8" s="21" t="inlineStr">
        <is>
          <t>Phase Flow (lb/hr, mass)</t>
        </is>
      </c>
      <c r="B8" s="22" t="n"/>
      <c r="C8" s="22" t="n"/>
      <c r="D8" s="23" t="n"/>
      <c r="E8" s="23" t="n"/>
      <c r="F8" s="23" t="n"/>
      <c r="G8" s="23" t="n"/>
      <c r="H8" s="23" t="n"/>
      <c r="I8" s="23" t="n"/>
    </row>
    <row r="9">
      <c r="A9" s="24" t="inlineStr">
        <is>
          <t>Component</t>
        </is>
      </c>
      <c r="B9" s="25" t="n"/>
      <c r="C9" s="25" t="n"/>
      <c r="D9" s="25" t="inlineStr">
        <is>
          <t>amount ↓</t>
        </is>
      </c>
      <c r="E9" s="25" t="inlineStr">
        <is>
          <t>amount ↓</t>
        </is>
      </c>
      <c r="F9" s="25" t="inlineStr">
        <is>
          <t>amount ↓</t>
        </is>
      </c>
      <c r="G9" s="25" t="inlineStr">
        <is>
          <t>amount ↓</t>
        </is>
      </c>
      <c r="H9" s="25" t="inlineStr">
        <is>
          <t>amount ↓</t>
        </is>
      </c>
      <c r="I9" s="25" t="inlineStr">
        <is>
          <t>amount ↓</t>
        </is>
      </c>
    </row>
    <row r="10">
      <c r="A10" s="26" t="inlineStr">
        <is>
          <t>H2</t>
        </is>
      </c>
      <c r="B10" s="22" t="n"/>
      <c r="C10" s="23" t="n"/>
      <c r="D10" s="23" t="n"/>
      <c r="E10" s="23" t="n"/>
      <c r="F10" s="23" t="n"/>
      <c r="G10" s="23" t="n"/>
      <c r="H10" s="23" t="n"/>
      <c r="I10" s="23" t="n"/>
    </row>
    <row r="11">
      <c r="A11" s="26" t="inlineStr">
        <is>
          <t>METHANE</t>
        </is>
      </c>
      <c r="B11" s="22" t="n"/>
      <c r="C11" s="23" t="n"/>
      <c r="D11" s="23" t="n"/>
      <c r="E11" s="23" t="n"/>
      <c r="F11" s="23" t="n"/>
      <c r="G11" s="23" t="n"/>
      <c r="H11" s="23" t="n"/>
      <c r="I11" s="23" t="n"/>
    </row>
    <row r="12">
      <c r="A12" s="26" t="inlineStr">
        <is>
          <t>ETHANE</t>
        </is>
      </c>
      <c r="B12" s="22" t="n"/>
      <c r="C12" s="23" t="n"/>
      <c r="D12" s="23" t="n"/>
      <c r="E12" s="23" t="n"/>
      <c r="F12" s="23" t="n"/>
      <c r="G12" s="23" t="n"/>
      <c r="H12" s="23" t="n"/>
      <c r="I12" s="23" t="n"/>
    </row>
    <row r="13">
      <c r="A13" s="26" t="inlineStr">
        <is>
          <t>PROPANE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</row>
    <row r="14">
      <c r="A14" s="26" t="inlineStr">
        <is>
          <t>NITROGEN</t>
        </is>
      </c>
      <c r="B14" s="23" t="n"/>
      <c r="C14" s="22" t="n"/>
      <c r="D14" s="23" t="n"/>
      <c r="E14" s="23" t="n"/>
      <c r="F14" s="23" t="n"/>
      <c r="G14" s="23" t="n"/>
      <c r="H14" s="23" t="n"/>
      <c r="I14" s="23" t="n"/>
    </row>
    <row r="15">
      <c r="A15" s="26" t="inlineStr">
        <is>
          <t>H2O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</row>
    <row r="16">
      <c r="A16" s="26" t="inlineStr">
        <is>
          <t>H2S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</row>
    <row r="17">
      <c r="A17" s="26" t="inlineStr">
        <is>
          <t>CO2</t>
        </is>
      </c>
      <c r="B17" s="23" t="n"/>
      <c r="C17" s="22" t="n"/>
      <c r="D17" s="23" t="n"/>
      <c r="E17" s="23" t="n"/>
      <c r="F17" s="23" t="n"/>
      <c r="G17" s="23" t="n"/>
      <c r="H17" s="23" t="n"/>
      <c r="I17" s="23" t="n"/>
    </row>
    <row r="18">
      <c r="A18" s="26" t="n"/>
      <c r="B18" s="23" t="n"/>
      <c r="C18" s="23" t="n"/>
      <c r="D18" s="23" t="n"/>
      <c r="E18" s="23" t="n"/>
      <c r="F18" s="23" t="n"/>
      <c r="G18" s="23" t="n"/>
      <c r="H18" s="23" t="n"/>
      <c r="I18" s="23" t="n"/>
    </row>
    <row r="19">
      <c r="A19" s="26" t="n"/>
      <c r="B19" s="23" t="n"/>
      <c r="C19" s="23" t="n"/>
      <c r="D19" s="23" t="n"/>
      <c r="E19" s="23" t="n"/>
      <c r="F19" s="23" t="n"/>
      <c r="G19" s="23" t="n"/>
      <c r="H19" s="23" t="n"/>
      <c r="I19" s="23" t="n"/>
    </row>
    <row r="20">
      <c r="A20" s="26" t="n"/>
      <c r="B20" s="23" t="n"/>
      <c r="C20" s="23" t="n"/>
      <c r="D20" s="23" t="n"/>
      <c r="E20" s="23" t="n"/>
      <c r="F20" s="23" t="n"/>
      <c r="G20" s="23" t="n"/>
      <c r="H20" s="23" t="n"/>
      <c r="I20" s="23" t="n"/>
    </row>
    <row r="21">
      <c r="A21" s="26" t="n"/>
      <c r="B21" s="23" t="n"/>
      <c r="C21" s="23" t="n"/>
      <c r="D21" s="23" t="n"/>
      <c r="E21" s="23" t="n"/>
      <c r="F21" s="23" t="n"/>
      <c r="G21" s="23" t="n"/>
      <c r="H21" s="23" t="n"/>
      <c r="I21" s="23" t="n"/>
    </row>
    <row r="22">
      <c r="A22" s="26" t="n"/>
      <c r="B22" s="23" t="n"/>
      <c r="C22" s="23" t="n"/>
      <c r="D22" s="23" t="n"/>
      <c r="E22" s="23" t="n"/>
      <c r="F22" s="23" t="n"/>
      <c r="G22" s="23" t="n"/>
      <c r="H22" s="23" t="n"/>
      <c r="I22" s="23" t="n"/>
    </row>
    <row r="23">
      <c r="A23" s="26" t="n"/>
      <c r="B23" s="23" t="n"/>
      <c r="C23" s="23" t="n"/>
      <c r="D23" s="23" t="n"/>
      <c r="E23" s="23" t="n"/>
      <c r="F23" s="23" t="n"/>
      <c r="G23" s="23" t="n"/>
      <c r="H23" s="23" t="n"/>
      <c r="I23" s="23" t="n"/>
    </row>
    <row r="24">
      <c r="A24" s="26" t="n"/>
      <c r="B24" s="23" t="n"/>
      <c r="C24" s="23" t="n"/>
      <c r="D24" s="23" t="n"/>
      <c r="E24" s="23" t="n"/>
      <c r="F24" s="23" t="n"/>
      <c r="G24" s="23" t="n"/>
      <c r="H24" s="23" t="n"/>
      <c r="I24" s="23" t="n"/>
    </row>
    <row r="25">
      <c r="A25" s="26" t="n"/>
      <c r="B25" s="23" t="n"/>
      <c r="C25" s="23" t="n"/>
      <c r="D25" s="23" t="n"/>
      <c r="E25" s="23" t="n"/>
      <c r="F25" s="23" t="n"/>
      <c r="G25" s="23" t="n"/>
      <c r="H25" s="23" t="n"/>
      <c r="I25" s="23" t="n"/>
    </row>
    <row r="26">
      <c r="A26" s="26" t="n"/>
      <c r="B26" s="23" t="n"/>
      <c r="C26" s="23" t="n"/>
      <c r="D26" s="23" t="n"/>
      <c r="E26" s="23" t="n"/>
      <c r="F26" s="23" t="n"/>
      <c r="G26" s="23" t="n"/>
      <c r="H26" s="23" t="n"/>
      <c r="I26" s="23" t="n"/>
    </row>
    <row r="27">
      <c r="A27" s="26" t="n"/>
      <c r="B27" s="23" t="n"/>
      <c r="C27" s="23" t="n"/>
      <c r="D27" s="23" t="n"/>
      <c r="E27" s="23" t="n"/>
      <c r="F27" s="23" t="n"/>
      <c r="G27" s="23" t="n"/>
      <c r="H27" s="23" t="n"/>
      <c r="I27" s="23" t="n"/>
    </row>
    <row r="28">
      <c r="A28" s="26" t="n"/>
      <c r="B28" s="23" t="n"/>
      <c r="C28" s="23" t="n"/>
      <c r="D28" s="23" t="n"/>
      <c r="E28" s="23" t="n"/>
      <c r="F28" s="23" t="n"/>
      <c r="G28" s="23" t="n"/>
      <c r="H28" s="23" t="n"/>
      <c r="I28" s="23" t="n"/>
    </row>
    <row r="29">
      <c r="A29" s="26" t="n"/>
      <c r="B29" s="23" t="n"/>
      <c r="C29" s="23" t="n"/>
      <c r="D29" s="23" t="n"/>
      <c r="E29" s="23" t="n"/>
      <c r="F29" s="23" t="n"/>
      <c r="G29" s="23" t="n"/>
      <c r="H29" s="23" t="n"/>
      <c r="I29" s="23" t="n"/>
    </row>
    <row r="30">
      <c r="A30" s="26" t="n"/>
      <c r="B30" s="23" t="n"/>
      <c r="C30" s="23" t="n"/>
      <c r="D30" s="23" t="n"/>
      <c r="E30" s="23" t="n"/>
      <c r="F30" s="23" t="n"/>
      <c r="G30" s="23" t="n"/>
      <c r="H30" s="23" t="n"/>
      <c r="I30" s="23" t="n"/>
    </row>
    <row r="31">
      <c r="A31" s="26" t="n"/>
      <c r="B31" s="23" t="n"/>
      <c r="C31" s="23" t="n"/>
      <c r="D31" s="23" t="n"/>
      <c r="E31" s="23" t="n"/>
      <c r="F31" s="23" t="n"/>
      <c r="G31" s="23" t="n"/>
      <c r="H31" s="23" t="n"/>
      <c r="I31" s="23" t="n"/>
    </row>
    <row r="32">
      <c r="A32" s="26" t="n"/>
      <c r="B32" s="23" t="n"/>
      <c r="C32" s="23" t="n"/>
      <c r="D32" s="23" t="n"/>
      <c r="E32" s="23" t="n"/>
      <c r="F32" s="23" t="n"/>
      <c r="G32" s="23" t="n"/>
      <c r="H32" s="23" t="n"/>
      <c r="I32" s="23" t="n"/>
    </row>
    <row r="33">
      <c r="A33" s="26" t="n"/>
      <c r="B33" s="23" t="n"/>
      <c r="C33" s="23" t="n"/>
      <c r="D33" s="23" t="n"/>
      <c r="E33" s="23" t="n"/>
      <c r="F33" s="23" t="n"/>
      <c r="G33" s="23" t="n"/>
      <c r="H33" s="23" t="n"/>
      <c r="I33" s="23" t="n"/>
    </row>
    <row r="34">
      <c r="A34" s="26" t="n"/>
      <c r="B34" s="23" t="n"/>
      <c r="C34" s="23" t="n"/>
      <c r="D34" s="23" t="n"/>
      <c r="E34" s="23" t="n"/>
      <c r="F34" s="23" t="n"/>
      <c r="G34" s="23" t="n"/>
      <c r="H34" s="23" t="n"/>
      <c r="I34" s="23" t="n"/>
    </row>
    <row r="35">
      <c r="A35" s="26" t="n"/>
      <c r="B35" s="23" t="n"/>
      <c r="C35" s="23" t="n"/>
      <c r="D35" s="23" t="n"/>
      <c r="E35" s="23" t="n"/>
      <c r="F35" s="23" t="n"/>
      <c r="G35" s="23" t="n"/>
      <c r="H35" s="23" t="n"/>
      <c r="I35" s="23" t="n"/>
    </row>
    <row r="36">
      <c r="A36" s="26" t="n"/>
      <c r="B36" s="23" t="n"/>
      <c r="C36" s="23" t="n"/>
      <c r="D36" s="23" t="n"/>
      <c r="E36" s="23" t="n"/>
      <c r="F36" s="23" t="n"/>
      <c r="G36" s="23" t="n"/>
      <c r="H36" s="23" t="n"/>
      <c r="I36" s="23" t="n"/>
    </row>
    <row r="37">
      <c r="A37" s="26" t="n"/>
      <c r="B37" s="23" t="n"/>
      <c r="C37" s="23" t="n"/>
      <c r="D37" s="23" t="n"/>
      <c r="E37" s="23" t="n"/>
      <c r="F37" s="23" t="n"/>
      <c r="G37" s="23" t="n"/>
      <c r="H37" s="23" t="n"/>
      <c r="I37" s="23" t="n"/>
    </row>
    <row r="38">
      <c r="A38" s="26" t="n"/>
      <c r="B38" s="23" t="n"/>
      <c r="C38" s="23" t="n"/>
      <c r="D38" s="23" t="n"/>
      <c r="E38" s="23" t="n"/>
      <c r="F38" s="23" t="n"/>
      <c r="G38" s="23" t="n"/>
      <c r="H38" s="23" t="n"/>
      <c r="I38" s="23" t="n"/>
    </row>
    <row r="39">
      <c r="A39" s="26" t="n"/>
      <c r="B39" s="23" t="n"/>
      <c r="C39" s="23" t="n"/>
      <c r="D39" s="23" t="n"/>
      <c r="E39" s="23" t="n"/>
      <c r="F39" s="23" t="n"/>
      <c r="G39" s="23" t="n"/>
      <c r="H39" s="23" t="n"/>
      <c r="I39" s="23" t="n"/>
    </row>
    <row r="40">
      <c r="A40" s="26" t="n"/>
      <c r="B40" s="23" t="n"/>
      <c r="C40" s="23" t="n"/>
      <c r="D40" s="23" t="n"/>
      <c r="E40" s="23" t="n"/>
      <c r="F40" s="23" t="n"/>
      <c r="G40" s="23" t="n"/>
      <c r="H40" s="23" t="n"/>
      <c r="I40" s="23" t="n"/>
    </row>
    <row r="41">
      <c r="A41" s="26" t="n"/>
      <c r="B41" s="23" t="n"/>
      <c r="C41" s="23" t="n"/>
      <c r="D41" s="23" t="n"/>
      <c r="E41" s="23" t="n"/>
      <c r="F41" s="23" t="n"/>
      <c r="G41" s="23" t="n"/>
      <c r="H41" s="23" t="n"/>
      <c r="I41" s="23" t="n"/>
    </row>
    <row r="42">
      <c r="A42" s="26" t="n"/>
      <c r="B42" s="23" t="n"/>
      <c r="C42" s="23" t="n"/>
      <c r="D42" s="23" t="n"/>
      <c r="E42" s="23" t="n"/>
      <c r="F42" s="23" t="n"/>
      <c r="G42" s="23" t="n"/>
      <c r="H42" s="23" t="n"/>
      <c r="I42" s="23" t="n"/>
    </row>
    <row r="43">
      <c r="A43" s="26" t="n"/>
      <c r="B43" s="23" t="n"/>
      <c r="C43" s="23" t="n"/>
      <c r="D43" s="23" t="n"/>
      <c r="E43" s="23" t="n"/>
      <c r="F43" s="23" t="n"/>
      <c r="G43" s="23" t="n"/>
      <c r="H43" s="23" t="n"/>
      <c r="I43" s="23" t="n"/>
    </row>
    <row r="44">
      <c r="A44" s="26" t="n"/>
      <c r="B44" s="23" t="n"/>
      <c r="C44" s="23" t="n"/>
      <c r="D44" s="23" t="n"/>
      <c r="E44" s="23" t="n"/>
      <c r="F44" s="23" t="n"/>
      <c r="G44" s="23" t="n"/>
      <c r="H44" s="23" t="n"/>
      <c r="I44" s="23" t="n"/>
    </row>
    <row r="45">
      <c r="A45" s="26" t="n"/>
      <c r="B45" s="23" t="n"/>
      <c r="C45" s="23" t="n"/>
      <c r="D45" s="23" t="n"/>
      <c r="E45" s="23" t="n"/>
      <c r="F45" s="23" t="n"/>
      <c r="G45" s="23" t="n"/>
      <c r="H45" s="23" t="n"/>
      <c r="I45" s="23" t="n"/>
    </row>
    <row r="46">
      <c r="A46" s="26" t="n"/>
      <c r="B46" s="23" t="n"/>
      <c r="C46" s="23" t="n"/>
      <c r="D46" s="23" t="n"/>
      <c r="E46" s="23" t="n"/>
      <c r="F46" s="23" t="n"/>
      <c r="G46" s="23" t="n"/>
      <c r="H46" s="23" t="n"/>
      <c r="I46" s="23" t="n"/>
    </row>
    <row r="47">
      <c r="A47" s="26" t="n"/>
      <c r="B47" s="23" t="n"/>
      <c r="C47" s="23" t="n"/>
      <c r="D47" s="23" t="n"/>
      <c r="E47" s="23" t="n"/>
      <c r="F47" s="23" t="n"/>
      <c r="G47" s="23" t="n"/>
      <c r="H47" s="23" t="n"/>
      <c r="I47" s="23" t="n"/>
    </row>
    <row r="48">
      <c r="A48" s="26" t="n"/>
      <c r="B48" s="23" t="n"/>
      <c r="C48" s="23" t="n"/>
      <c r="D48" s="23" t="n"/>
      <c r="E48" s="23" t="n"/>
      <c r="F48" s="23" t="n"/>
      <c r="G48" s="23" t="n"/>
      <c r="H48" s="23" t="n"/>
      <c r="I48" s="23" t="n"/>
    </row>
    <row r="49">
      <c r="A49" s="26" t="n"/>
      <c r="B49" s="23" t="n"/>
      <c r="C49" s="23" t="n"/>
      <c r="D49" s="23" t="n"/>
      <c r="E49" s="23" t="n"/>
      <c r="F49" s="23" t="n"/>
      <c r="G49" s="23" t="n"/>
      <c r="H49" s="23" t="n"/>
      <c r="I49" s="23" t="n"/>
    </row>
    <row r="50">
      <c r="A50" s="26" t="n"/>
      <c r="B50" s="23" t="n"/>
      <c r="C50" s="23" t="n"/>
      <c r="D50" s="23" t="n"/>
      <c r="E50" s="23" t="n"/>
      <c r="F50" s="23" t="n"/>
      <c r="G50" s="23" t="n"/>
      <c r="H50" s="23" t="n"/>
      <c r="I50" s="23" t="n"/>
    </row>
    <row r="51">
      <c r="A51" s="26" t="n"/>
      <c r="B51" s="23" t="n"/>
      <c r="C51" s="23" t="n"/>
      <c r="D51" s="23" t="n"/>
      <c r="E51" s="23" t="n"/>
      <c r="F51" s="23" t="n"/>
      <c r="G51" s="23" t="n"/>
      <c r="H51" s="23" t="n"/>
      <c r="I51" s="23" t="n"/>
    </row>
    <row r="52">
      <c r="A52" s="26" t="n"/>
      <c r="B52" s="23" t="n"/>
      <c r="C52" s="23" t="n"/>
      <c r="D52" s="23" t="n"/>
      <c r="E52" s="23" t="n"/>
      <c r="F52" s="23" t="n"/>
      <c r="G52" s="23" t="n"/>
      <c r="H52" s="23" t="n"/>
      <c r="I52" s="23" t="n"/>
    </row>
    <row r="53">
      <c r="A53" s="26" t="n"/>
      <c r="B53" s="23" t="n"/>
      <c r="C53" s="23" t="n"/>
      <c r="D53" s="23" t="n"/>
      <c r="E53" s="23" t="n"/>
      <c r="F53" s="23" t="n"/>
      <c r="G53" s="23" t="n"/>
      <c r="H53" s="23" t="n"/>
      <c r="I53" s="23" t="n"/>
    </row>
    <row r="54">
      <c r="A54" s="26" t="n"/>
      <c r="B54" s="23" t="n"/>
      <c r="C54" s="23" t="n"/>
      <c r="D54" s="23" t="n"/>
      <c r="E54" s="23" t="n"/>
      <c r="F54" s="23" t="n"/>
      <c r="G54" s="23" t="n"/>
      <c r="H54" s="23" t="n"/>
      <c r="I54" s="23" t="n"/>
    </row>
    <row r="55">
      <c r="A55" s="26" t="n"/>
      <c r="B55" s="23" t="n"/>
      <c r="C55" s="23" t="n"/>
      <c r="D55" s="23" t="n"/>
      <c r="E55" s="23" t="n"/>
      <c r="F55" s="23" t="n"/>
      <c r="G55" s="23" t="n"/>
      <c r="H55" s="23" t="n"/>
      <c r="I55" s="23" t="n"/>
    </row>
    <row r="56">
      <c r="A56" s="26" t="n"/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>
      <c r="A57" s="26" t="n"/>
      <c r="B57" s="23" t="n"/>
      <c r="C57" s="23" t="n"/>
      <c r="D57" s="23" t="n"/>
      <c r="E57" s="23" t="n"/>
      <c r="F57" s="23" t="n"/>
      <c r="G57" s="23" t="n"/>
      <c r="H57" s="23" t="n"/>
      <c r="I57" s="23" t="n"/>
    </row>
    <row r="58">
      <c r="A58" s="26" t="n"/>
      <c r="B58" s="23" t="n"/>
      <c r="C58" s="23" t="n"/>
      <c r="D58" s="23" t="n"/>
      <c r="E58" s="23" t="n"/>
      <c r="F58" s="23" t="n"/>
      <c r="G58" s="23" t="n"/>
      <c r="H58" s="23" t="n"/>
      <c r="I58" s="23" t="n"/>
    </row>
    <row r="59">
      <c r="A59" s="26" t="n"/>
      <c r="B59" s="23" t="n"/>
      <c r="C59" s="23" t="n"/>
      <c r="D59" s="23" t="n"/>
      <c r="E59" s="23" t="n"/>
      <c r="F59" s="23" t="n"/>
      <c r="G59" s="23" t="n"/>
      <c r="H59" s="23" t="n"/>
      <c r="I59" s="23" t="n"/>
    </row>
    <row r="60">
      <c r="A60" s="26" t="n"/>
      <c r="B60" s="23" t="n"/>
      <c r="C60" s="23" t="n"/>
      <c r="D60" s="23" t="n"/>
      <c r="E60" s="23" t="n"/>
      <c r="F60" s="23" t="n"/>
      <c r="G60" s="23" t="n"/>
      <c r="H60" s="23" t="n"/>
      <c r="I60" s="23" t="n"/>
    </row>
    <row r="61">
      <c r="A61" s="26" t="n"/>
      <c r="B61" s="23" t="n"/>
      <c r="C61" s="23" t="n"/>
      <c r="D61" s="23" t="n"/>
      <c r="E61" s="23" t="n"/>
      <c r="F61" s="23" t="n"/>
      <c r="G61" s="23" t="n"/>
      <c r="H61" s="23" t="n"/>
      <c r="I61" s="23" t="n"/>
    </row>
    <row r="62">
      <c r="A62" s="26" t="n"/>
      <c r="B62" s="23" t="n"/>
      <c r="C62" s="23" t="n"/>
      <c r="D62" s="23" t="n"/>
      <c r="E62" s="23" t="n"/>
      <c r="F62" s="23" t="n"/>
      <c r="G62" s="23" t="n"/>
      <c r="H62" s="23" t="n"/>
      <c r="I62" s="23" t="n"/>
    </row>
    <row r="63">
      <c r="A63" s="26" t="n"/>
      <c r="B63" s="23" t="n"/>
      <c r="C63" s="23" t="n"/>
      <c r="D63" s="23" t="n"/>
      <c r="E63" s="23" t="n"/>
      <c r="F63" s="23" t="n"/>
      <c r="G63" s="23" t="n"/>
      <c r="H63" s="23" t="n"/>
      <c r="I63" s="23" t="n"/>
    </row>
    <row r="64">
      <c r="A64" s="26" t="n"/>
      <c r="B64" s="23" t="n"/>
      <c r="C64" s="23" t="n"/>
      <c r="D64" s="23" t="n"/>
      <c r="E64" s="23" t="n"/>
      <c r="F64" s="23" t="n"/>
      <c r="G64" s="23" t="n"/>
      <c r="H64" s="23" t="n"/>
      <c r="I64" s="23" t="n"/>
    </row>
    <row r="65">
      <c r="A65" s="26" t="n"/>
      <c r="B65" s="23" t="n"/>
      <c r="C65" s="23" t="n"/>
      <c r="D65" s="23" t="n"/>
      <c r="E65" s="23" t="n"/>
      <c r="F65" s="23" t="n"/>
      <c r="G65" s="23" t="n"/>
      <c r="H65" s="23" t="n"/>
      <c r="I65" s="23" t="n"/>
    </row>
    <row r="66">
      <c r="A66" s="26" t="n"/>
      <c r="B66" s="23" t="n"/>
      <c r="C66" s="23" t="n"/>
      <c r="D66" s="23" t="n"/>
      <c r="E66" s="23" t="n"/>
      <c r="F66" s="23" t="n"/>
      <c r="G66" s="23" t="n"/>
      <c r="H66" s="23" t="n"/>
      <c r="I66" s="23" t="n"/>
    </row>
    <row r="67">
      <c r="A67" s="26" t="n"/>
      <c r="B67" s="23" t="n"/>
      <c r="C67" s="23" t="n"/>
      <c r="D67" s="23" t="n"/>
      <c r="E67" s="23" t="n"/>
      <c r="F67" s="23" t="n"/>
      <c r="G67" s="23" t="n"/>
      <c r="H67" s="23" t="n"/>
      <c r="I67" s="23" t="n"/>
    </row>
    <row r="68">
      <c r="A68" s="26" t="n"/>
      <c r="B68" s="23" t="n"/>
      <c r="C68" s="23" t="n"/>
      <c r="D68" s="23" t="n"/>
      <c r="E68" s="23" t="n"/>
      <c r="F68" s="23" t="n"/>
      <c r="G68" s="23" t="n"/>
      <c r="H68" s="23" t="n"/>
      <c r="I68" s="23" t="n"/>
    </row>
    <row r="69">
      <c r="A69" s="26" t="n"/>
      <c r="B69" s="23" t="n"/>
      <c r="C69" s="23" t="n"/>
      <c r="D69" s="23" t="n"/>
      <c r="E69" s="23" t="n"/>
      <c r="F69" s="23" t="n"/>
      <c r="G69" s="23" t="n"/>
      <c r="H69" s="23" t="n"/>
      <c r="I69" s="23" t="n"/>
    </row>
  </sheetData>
  <mergeCells count="1">
    <mergeCell ref="A1:I1"/>
  </mergeCells>
  <dataValidations count="2">
    <dataValidation sqref="B6:AW6" showDropDown="0" showInputMessage="0" showErrorMessage="0" allowBlank="1" type="list">
      <formula1>"Vapor,Liquid"</formula1>
    </dataValidation>
    <dataValidation sqref="B7:AW7" showDropDown="0" showInputMessage="0" showErrorMessage="0" allowBlank="1" type="list">
      <formula1>"Mass,Mole"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2026-06-12T09:36:23Z</dcterms:created>
  <dcterms:modified xmlns:dcterms="http://purl.org/dc/terms/" xmlns:xsi="http://www.w3.org/2001/XMLSchema-instance" xsi:type="dcterms:W3CDTF">2026-10-30T09:34:29Z</dcterms:modified>
  <cp:lastModifiedBy>Pratik MENON</cp:lastModifiedBy>
</cp:coreProperties>
</file>