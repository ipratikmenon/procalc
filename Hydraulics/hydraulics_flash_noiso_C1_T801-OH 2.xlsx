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drawings/drawing13.xml" ContentType="application/vnd.openxmlformats-officedocument.drawing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_Profile" sheetId="1" state="visible" r:id="rId1"/>
    <sheet xmlns:r="http://schemas.openxmlformats.org/officeDocument/2006/relationships" name="Flash_Profile" sheetId="2" state="visible" r:id="rId2"/>
    <sheet xmlns:r="http://schemas.openxmlformats.org/officeDocument/2006/relationships" name="Composition Splits" sheetId="3" state="visible" r:id="rId3"/>
    <sheet xmlns:r="http://schemas.openxmlformats.org/officeDocument/2006/relationships" name="Component_Detail" sheetId="4" state="visible" r:id="rId4"/>
    <sheet xmlns:r="http://schemas.openxmlformats.org/officeDocument/2006/relationships" name="Stream_Props" sheetId="5" state="visible" r:id="rId5"/>
    <sheet xmlns:r="http://schemas.openxmlformats.org/officeDocument/2006/relationships" name="FIV_EI_T2.2" sheetId="6" state="visible" r:id="rId6"/>
    <sheet xmlns:r="http://schemas.openxmlformats.org/officeDocument/2006/relationships" name="AIV" sheetId="7" state="visible" r:id="rId7"/>
    <sheet xmlns:r="http://schemas.openxmlformats.org/officeDocument/2006/relationships" name="Two_Phase_Regime" sheetId="8" state="visible" r:id="rId8"/>
    <sheet xmlns:r="http://schemas.openxmlformats.org/officeDocument/2006/relationships" name="Flow_Pattern_Data" sheetId="9" state="visible" r:id="rId9"/>
    <sheet xmlns:r="http://schemas.openxmlformats.org/officeDocument/2006/relationships" name="H Taitel-Dukler" sheetId="10" state="visible" r:id="rId10"/>
    <sheet xmlns:r="http://schemas.openxmlformats.org/officeDocument/2006/relationships" name="H Gregory-Fogarasi" sheetId="11" state="visible" r:id="rId11"/>
    <sheet xmlns:r="http://schemas.openxmlformats.org/officeDocument/2006/relationships" name="H Shell DEP" sheetId="12" state="visible" r:id="rId12"/>
    <sheet xmlns:r="http://schemas.openxmlformats.org/officeDocument/2006/relationships" name="H Shell DEP2" sheetId="13" state="visible" r:id="rId13"/>
    <sheet xmlns:r="http://schemas.openxmlformats.org/officeDocument/2006/relationships" name="H HTRI" sheetId="14" state="visible" r:id="rId14"/>
    <sheet xmlns:r="http://schemas.openxmlformats.org/officeDocument/2006/relationships" name="H Baker (HEDH)" sheetId="15" state="visible" r:id="rId15"/>
    <sheet xmlns:r="http://schemas.openxmlformats.org/officeDocument/2006/relationships" name="V Gregory-Fogarasi" sheetId="16" state="visible" r:id="rId16"/>
    <sheet xmlns:r="http://schemas.openxmlformats.org/officeDocument/2006/relationships" name="V Shell DEP2" sheetId="17" state="visible" r:id="rId17"/>
    <sheet xmlns:r="http://schemas.openxmlformats.org/officeDocument/2006/relationships" name="V Shell DEP" sheetId="18" state="visible" r:id="rId18"/>
    <sheet xmlns:r="http://schemas.openxmlformats.org/officeDocument/2006/relationships" name="V HTRI" sheetId="19" state="visible" r:id="rId19"/>
    <sheet xmlns:r="http://schemas.openxmlformats.org/officeDocument/2006/relationships" name="V HEDH up" sheetId="20" state="visible" r:id="rId20"/>
    <sheet xmlns:r="http://schemas.openxmlformats.org/officeDocument/2006/relationships" name="V Oshinowo up" sheetId="21" state="visible" r:id="rId21"/>
    <sheet xmlns:r="http://schemas.openxmlformats.org/officeDocument/2006/relationships" name="V HEDH down" sheetId="22" state="visible" r:id="rId22"/>
    <sheet xmlns:r="http://schemas.openxmlformats.org/officeDocument/2006/relationships" name="V Oshinowo down" sheetId="23" state="visible" r:id="rId23"/>
    <sheet xmlns:r="http://schemas.openxmlformats.org/officeDocument/2006/relationships" name="Input_Pipeline" sheetId="24" state="visible" r:id="rId24"/>
    <sheet xmlns:r="http://schemas.openxmlformats.org/officeDocument/2006/relationships" name="README" sheetId="25" state="visible" r:id="rId25"/>
  </sheets>
  <definedNames>
    <definedName name="_xlnm._FilterDatabase" localSheetId="0" hidden="1">'Pressure_Profile'!$A$2:$AD$2</definedName>
    <definedName name="_xlnm._FilterDatabase" localSheetId="23" hidden="1">'Input_Pipeline'!$A$4:$X$4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4973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b val="1"/>
      <color rgb="00FFFFFF"/>
      <sz val="11"/>
    </font>
    <font>
      <name val="Calibri"/>
      <color rgb="00808080"/>
      <sz val="9"/>
    </font>
    <font>
      <name val="Calibri"/>
      <b val="1"/>
      <color rgb="001F4973"/>
      <sz val="8"/>
    </font>
    <font>
      <name val="Calibri"/>
      <color rgb="00404040"/>
      <sz val="8"/>
    </font>
    <font>
      <name val="Calibri"/>
      <b val="1"/>
      <color rgb="00404040"/>
      <sz val="8"/>
    </font>
    <font>
      <name val="Calibri"/>
      <b val="1"/>
      <color rgb="001F4973"/>
      <sz val="11"/>
    </font>
    <font>
      <name val="Calibri"/>
      <color rgb="00FFFFFF"/>
      <sz val="8"/>
    </font>
    <font>
      <name val="Calibri"/>
      <color rgb="00FFFFFF"/>
      <sz val="9"/>
    </font>
    <font>
      <name val="Calibri"/>
      <b val="1"/>
      <color rgb="001F4973"/>
      <sz val="14"/>
    </font>
  </fonts>
  <fills count="15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C9B8E8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14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Flash Pressure Profile — Circuit C1 [Main]</a:t>
            </a:r>
          </a:p>
        </rich>
      </tx>
    </title>
    <plotArea>
      <lineChart>
        <grouping val="standard"/>
        <ser>
          <idx val="0"/>
          <order val="0"/>
          <tx>
            <strRef>
              <f>'Pressure_Profile'!T3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'Pressure_Profile'!$H$4:$H$12</f>
            </numRef>
          </cat>
          <val>
            <numRef>
              <f>'Pressure_Profile'!$T$4:$T$12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Length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(kPa)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Fr)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Taitel-Dukler'!$AD$2:$AD$5</f>
            </numRef>
          </xVal>
          <yVal>
            <numRef>
              <f>'H Taitel-Dukler'!$AE$2:$AE$5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Taitel-Dukler'!$AG$2:$AG$3</f>
            </numRef>
          </xVal>
          <yVal>
            <numRef>
              <f>'H Taitel-Dukler'!$AH$2:$AH$3</f>
            </numRef>
          </yVal>
        </ser>
        <ser>
          <idx val="2"/>
          <order val="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Taitel-Dukler'!$AJ$2</f>
            </numRef>
          </xVal>
          <yVal>
            <numRef>
              <f>'H Taitel-Dukler'!$AK$2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(Lockhart-Martinelli)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K)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Taitel-Dukler'!$AM$2:$AM$5</f>
            </numRef>
          </xVal>
          <yVal>
            <numRef>
              <f>'H Taitel-Dukler'!$AN$2:$AN$5</f>
            </numRef>
          </yVal>
        </ser>
        <ser>
          <idx val="1"/>
          <order val="1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Taitel-Dukler'!$AP$2</f>
            </numRef>
          </xVal>
          <yVal>
            <numRef>
              <f>'H Taitel-Dukler'!$AQ$2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T)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Taitel-Dukler'!$AS$2:$AS$4</f>
            </numRef>
          </xVal>
          <yVal>
            <numRef>
              <f>'H Taitel-Dukler'!$AT$2:$AT$4</f>
            </numRef>
          </yVal>
        </ser>
        <ser>
          <idx val="1"/>
          <order val="1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Taitel-Dukler'!$AV$2</f>
            </numRef>
          </xVal>
          <yVal>
            <numRef>
              <f>'H Taitel-Dukler'!$AW$2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GREGORY &amp; FOGARASI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Gregory-Fogarasi'!$AD$2:$AD$3</f>
            </numRef>
          </xVal>
          <yVal>
            <numRef>
              <f>'H Gregory-Fogarasi'!$AE$2:$AE$3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Gregory-Fogarasi'!$AG$2:$AG$3</f>
            </numRef>
          </xVal>
          <yVal>
            <numRef>
              <f>'H Gregory-Fogarasi'!$AH$2:$AH$3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Gregory-Fogarasi'!$AJ$2:$AJ$3</f>
            </numRef>
          </xVal>
          <yVal>
            <numRef>
              <f>'H Gregory-Fogarasi'!$AK$2:$AK$3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Gregory-Fogarasi'!$AM$2:$AM$3</f>
            </numRef>
          </xVal>
          <yVal>
            <numRef>
              <f>'H Gregory-Fogarasi'!$AN$2:$AN$3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Gregory-Fogarasi'!$AP$2:$AP$3</f>
            </numRef>
          </xVal>
          <yVal>
            <numRef>
              <f>'H Gregory-Fogarasi'!$AQ$2:$AQ$3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Gregory-Fogarasi'!$AS$2:$AS$3</f>
            </numRef>
          </xVal>
          <yVal>
            <numRef>
              <f>'H Gregory-Fogarasi'!$AT$2:$AT$3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Gregory-Fogarasi'!$AV$2:$AV$3</f>
            </numRef>
          </xVal>
          <yVal>
            <numRef>
              <f>'H Gregory-Fogarasi'!$AW$2:$AW$3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Gregory-Fogarasi'!$AY$2:$AY$3</f>
            </numRef>
          </xVal>
          <yVal>
            <numRef>
              <f>'H Gregory-Fogarasi'!$AZ$2:$AZ$3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Gregory-Fogarasi'!$BB$2:$BB$3</f>
            </numRef>
          </xVal>
          <yVal>
            <numRef>
              <f>'H Gregory-Fogarasi'!$BC$2:$BC$3</f>
            </numRef>
          </yVal>
        </ser>
        <ser>
          <idx val="9"/>
          <order val="9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Gregory-Fogarasi'!$BE$2</f>
            </numRef>
          </xVal>
          <yVal>
            <numRef>
              <f>'H Gregory-Fogarasi'!$BF$2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DEP'!$AD$2:$AD$3</f>
            </numRef>
          </xVal>
          <yVal>
            <numRef>
              <f>'H Shell DEP'!$AE$2:$AE$3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DEP'!$AG$2:$AG$4</f>
            </numRef>
          </xVal>
          <yVal>
            <numRef>
              <f>'H Shell DEP'!$AH$2:$AH$4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DEP'!$AJ$2:$AJ$4</f>
            </numRef>
          </xVal>
          <yVal>
            <numRef>
              <f>'H Shell DEP'!$AK$2:$AK$4</f>
            </numRef>
          </yVal>
        </ser>
        <ser>
          <idx val="3"/>
          <order val="3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DEP'!$AM$2</f>
            </numRef>
          </xVal>
          <yVal>
            <numRef>
              <f>'H Shell DEP'!$AN$2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load Fi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DEP2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DEP2'!$AD$2:$AD$4</f>
            </numRef>
          </xVal>
          <yVal>
            <numRef>
              <f>'H Shell DEP2'!$AE$2:$AE$4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DEP2'!$AG$2:$AG$3</f>
            </numRef>
          </xVal>
          <yVal>
            <numRef>
              <f>'H Shell DEP2'!$AH$2:$AH$3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DEP2'!$AJ$2:$AJ$3</f>
            </numRef>
          </xVal>
          <yVal>
            <numRef>
              <f>'H Shell DEP2'!$AK$2:$AK$3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DEP2'!$AM$2:$AM$3</f>
            </numRef>
          </xVal>
          <yVal>
            <numRef>
              <f>'H Shell DEP2'!$AN$2:$AN$3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DEP2'!$AP$2:$AP$3</f>
            </numRef>
          </xVal>
          <yVal>
            <numRef>
              <f>'H Shell DEP2'!$AQ$2:$AQ$3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DEP2'!$AS$2:$AS$3</f>
            </numRef>
          </xVal>
          <yVal>
            <numRef>
              <f>'H Shell DEP2'!$AT$2:$AT$3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DEP2'!$AV$2:$AV$3</f>
            </numRef>
          </xVal>
          <yVal>
            <numRef>
              <f>'H Shell DEP2'!$AW$2:$AW$3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DEP2'!$AY$2:$AY$3</f>
            </numRef>
          </xVal>
          <yVal>
            <numRef>
              <f>'H Shell DEP2'!$AZ$2:$AZ$3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DEP2'!$BB$2:$BB$3</f>
            </numRef>
          </xVal>
          <yVal>
            <numRef>
              <f>'H Shell DEP2'!$BC$2:$BC$3</f>
            </numRef>
          </yVal>
        </ser>
        <ser>
          <idx val="9"/>
          <order val="9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DEP2'!$BE$2</f>
            </numRef>
          </xVal>
          <yVal>
            <numRef>
              <f>'H Shell DEP2'!$BF$2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e-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HTRI — HORIZONTAL TUBE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HTRI'!$AD$2:$AD$3</f>
            </numRef>
          </xVal>
          <yVal>
            <numRef>
              <f>'H HTRI'!$AE$2:$AE$3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HTRI'!$AG$2:$AG$3</f>
            </numRef>
          </xVal>
          <yVal>
            <numRef>
              <f>'H HTRI'!$AH$2:$AH$3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HTRI'!$AJ$2:$AJ$3</f>
            </numRef>
          </xVal>
          <yVal>
            <numRef>
              <f>'H HTRI'!$AK$2:$AK$3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HTRI'!$AM$2:$AM$3</f>
            </numRef>
          </xVal>
          <yVal>
            <numRef>
              <f>'H HTRI'!$AN$2:$AN$3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HTRI'!$AP$2:$AP$3</f>
            </numRef>
          </xVal>
          <yVal>
            <numRef>
              <f>'H HTRI'!$AQ$2:$AQ$3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HTRI'!$AS$2:$AS$3</f>
            </numRef>
          </xVal>
          <yVal>
            <numRef>
              <f>'H HTRI'!$AT$2:$AT$3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HTRI'!$AV$2:$AV$3</f>
            </numRef>
          </xVal>
          <yVal>
            <numRef>
              <f>'H HTRI'!$AW$2:$AW$3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HTRI'!$AY$2:$AY$3</f>
            </numRef>
          </xVal>
          <yVal>
            <numRef>
              <f>'H HTRI'!$AZ$2:$AZ$3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HTRI'!$BB$2:$BB$3</f>
            </numRef>
          </xVal>
          <yVal>
            <numRef>
              <f>'H HTRI'!$BC$2:$BC$3</f>
            </numRef>
          </yVal>
        </ser>
        <ser>
          <idx val="9"/>
          <order val="9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HTRI'!$BE$2:$BE$3</f>
            </numRef>
          </xVal>
          <yVal>
            <numRef>
              <f>'H HTRI'!$BF$2:$BF$3</f>
            </numRef>
          </yVal>
        </ser>
        <ser>
          <idx val="10"/>
          <order val="10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HTRI'!$BH$2:$BH$3</f>
            </numRef>
          </xVal>
          <yVal>
            <numRef>
              <f>'H HTRI'!$BI$2:$BI$3</f>
            </numRef>
          </yVal>
        </ser>
        <ser>
          <idx val="11"/>
          <order val="1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HTRI'!$BK$2:$BK$3</f>
            </numRef>
          </xVal>
          <yVal>
            <numRef>
              <f>'H HTRI'!$BL$2:$BL$3</f>
            </numRef>
          </yVal>
        </ser>
        <ser>
          <idx val="12"/>
          <order val="1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HTRI'!$BN$2</f>
            </numRef>
          </xVal>
          <yVal>
            <numRef>
              <f>'H HTRI'!$BO$2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Homogeneous Liquid Volume Fraction, 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Flow regime parameter, C gt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BAKER MAP — HORIZONTAL TWO-PHASE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(HEDH)'!$AD$2:$AD$4</f>
            </numRef>
          </xVal>
          <yVal>
            <numRef>
              <f>'H Baker (HEDH)'!$AE$2:$AE$4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(HEDH)'!$AG$2:$AG$3</f>
            </numRef>
          </xVal>
          <yVal>
            <numRef>
              <f>'H Baker (HEDH)'!$AH$2:$AH$3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(HEDH)'!$AJ$2:$AJ$3</f>
            </numRef>
          </xVal>
          <yVal>
            <numRef>
              <f>'H Baker (HEDH)'!$AK$2:$AK$3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(HEDH)'!$AM$2:$AM$3</f>
            </numRef>
          </xVal>
          <yVal>
            <numRef>
              <f>'H Baker (HEDH)'!$AN$2:$AN$3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(HEDH)'!$AP$2:$AP$4</f>
            </numRef>
          </xVal>
          <yVal>
            <numRef>
              <f>'H Baker (HEDH)'!$AQ$2:$AQ$4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(HEDH)'!$AS$2:$AS$3</f>
            </numRef>
          </xVal>
          <yVal>
            <numRef>
              <f>'H Baker (HEDH)'!$AT$2:$AT$3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(HEDH)'!$AV$2:$AV$4</f>
            </numRef>
          </xVal>
          <yVal>
            <numRef>
              <f>'H Baker (HEDH)'!$AW$2:$AW$4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(HEDH)'!$AY$2</f>
            </numRef>
          </xVal>
          <yVal>
            <numRef>
              <f>'H Baker (HEDH)'!$AZ$2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Ql·Fib  (kg m⁻² s⁻¹)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Qg/λb  (kg m⁻² s⁻¹)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GREGORY &amp; FOGARASI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Gregory-Fogarasi'!$AD$2:$AD$3</f>
            </numRef>
          </xVal>
          <yVal>
            <numRef>
              <f>'V Gregory-Fogarasi'!$AE$2:$AE$3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Gregory-Fogarasi'!$AG$2:$AG$3</f>
            </numRef>
          </xVal>
          <yVal>
            <numRef>
              <f>'V Gregory-Fogarasi'!$AH$2:$AH$3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Gregory-Fogarasi'!$AJ$2:$AJ$3</f>
            </numRef>
          </xVal>
          <yVal>
            <numRef>
              <f>'V Gregory-Fogarasi'!$AK$2:$AK$3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Gregory-Fogarasi'!$AM$2:$AM$3</f>
            </numRef>
          </xVal>
          <yVal>
            <numRef>
              <f>'V Gregory-Fogarasi'!$AN$2:$AN$3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Gregory-Fogarasi'!$AP$2:$AP$3</f>
            </numRef>
          </xVal>
          <yVal>
            <numRef>
              <f>'V Gregory-Fogarasi'!$AQ$2:$AQ$3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Gregory-Fogarasi'!$AS$2:$AS$3</f>
            </numRef>
          </xVal>
          <yVal>
            <numRef>
              <f>'V Gregory-Fogarasi'!$AT$2:$AT$3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Gregory-Fogarasi'!$AV$2</f>
            </numRef>
          </xVal>
          <yVal>
            <numRef>
              <f>'V Gregory-Fogarasi'!$AW$2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DEP2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DEP2'!$AD$2:$AD$3</f>
            </numRef>
          </xVal>
          <yVal>
            <numRef>
              <f>'V Shell DEP2'!$AE$2:$AE$3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DEP2'!$AG$2:$AG$3</f>
            </numRef>
          </xVal>
          <yVal>
            <numRef>
              <f>'V Shell DEP2'!$AH$2:$AH$3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DEP2'!$AJ$2:$AJ$3</f>
            </numRef>
          </xVal>
          <yVal>
            <numRef>
              <f>'V Shell DEP2'!$AK$2:$AK$3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DEP2'!$AM$2:$AM$3</f>
            </numRef>
          </xVal>
          <yVal>
            <numRef>
              <f>'V Shell DEP2'!$AN$2:$AN$3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DEP2'!$AP$2:$AP$3</f>
            </numRef>
          </xVal>
          <yVal>
            <numRef>
              <f>'V Shell DEP2'!$AQ$2:$AQ$3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DEP2'!$AS$2:$AS$3</f>
            </numRef>
          </xVal>
          <yVal>
            <numRef>
              <f>'V Shell DEP2'!$AT$2:$AT$3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DEP2'!$AV$2</f>
            </numRef>
          </xVal>
          <yVal>
            <numRef>
              <f>'V Shell DEP2'!$AW$2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e-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DEP'!$AD$2:$AD$4</f>
            </numRef>
          </xVal>
          <yVal>
            <numRef>
              <f>'V Shell DEP'!$AE$2:$AE$4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DEP'!$AG$2:$AG$4</f>
            </numRef>
          </xVal>
          <yVal>
            <numRef>
              <f>'V Shell DEP'!$AH$2:$AH$4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DEP'!$AJ$2:$AJ$4</f>
            </numRef>
          </xVal>
          <yVal>
            <numRef>
              <f>'V Shell DEP'!$AK$2:$AK$4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DEP'!$AM$2:$AM$4</f>
            </numRef>
          </xVal>
          <yVal>
            <numRef>
              <f>'V Shell DEP'!$AN$2:$AN$4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DEP'!$AP$2:$AP$4</f>
            </numRef>
          </xVal>
          <yVal>
            <numRef>
              <f>'V Shell DEP'!$AQ$2:$AQ$4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DEP'!$AS$2:$AS$4</f>
            </numRef>
          </xVal>
          <yVal>
            <numRef>
              <f>'V Shell DEP'!$AT$2:$AT$4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DEP'!$AV$2:$AV$4</f>
            </numRef>
          </xVal>
          <yVal>
            <numRef>
              <f>'V Shell DEP'!$AW$2:$AW$4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DEP'!$AY$2</f>
            </numRef>
          </xVal>
          <yVal>
            <numRef>
              <f>'V Shell DEP'!$AZ$2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load Fi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HTRI — VERTICAL INTUBE BOILING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HTRI'!$AD$2:$AD$3</f>
            </numRef>
          </xVal>
          <yVal>
            <numRef>
              <f>'V HTRI'!$AE$2:$AE$3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HTRI'!$AG$2:$AG$3</f>
            </numRef>
          </xVal>
          <yVal>
            <numRef>
              <f>'V HTRI'!$AH$2:$AH$3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HTRI'!$AJ$2:$AJ$3</f>
            </numRef>
          </xVal>
          <yVal>
            <numRef>
              <f>'V HTRI'!$AK$2:$AK$3</f>
            </numRef>
          </yVal>
        </ser>
        <ser>
          <idx val="3"/>
          <order val="3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HTRI'!$AM$2</f>
            </numRef>
          </xVal>
          <yVal>
            <numRef>
              <f>'V HTRI'!$AN$2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Gt, Total mass velocity (kg/s 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HEDH — VERTICAL UPWARD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up'!$AD$2:$AD$4</f>
            </numRef>
          </xVal>
          <yVal>
            <numRef>
              <f>'V HEDH up'!$AE$2:$AE$4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up'!$AG$2:$AG$3</f>
            </numRef>
          </xVal>
          <yVal>
            <numRef>
              <f>'V HEDH up'!$AH$2:$AH$3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up'!$AJ$2:$AJ$4</f>
            </numRef>
          </xVal>
          <yVal>
            <numRef>
              <f>'V HEDH up'!$AK$2:$AK$4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up'!$AM$2:$AM$4</f>
            </numRef>
          </xVal>
          <yVal>
            <numRef>
              <f>'V HEDH up'!$AN$2:$AN$4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up'!$AP$2:$AP$3</f>
            </numRef>
          </xVal>
          <yVal>
            <numRef>
              <f>'V HEDH up'!$AQ$2:$AQ$3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up'!$AS$2:$AS$4</f>
            </numRef>
          </xVal>
          <yVal>
            <numRef>
              <f>'V HEDH up'!$AT$2:$AT$4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up'!$AV$2</f>
            </numRef>
          </xVal>
          <yVal>
            <numRef>
              <f>'V HEDH up'!$AW$2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ρl·vl²  (kg m⁻¹ s⁻²)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ρg·vg²  (kg m⁻¹ s⁻²)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OSHINOWO-CHARLES — VERTICAL UPWARD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up'!$AD$2:$AD$3</f>
            </numRef>
          </xVal>
          <yVal>
            <numRef>
              <f>'V Oshinowo up'!$AE$2:$AE$3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up'!$AG$2:$AG$4</f>
            </numRef>
          </xVal>
          <yVal>
            <numRef>
              <f>'V Oshinowo up'!$AH$2:$AH$4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up'!$AJ$2:$AJ$4</f>
            </numRef>
          </xVal>
          <yVal>
            <numRef>
              <f>'V Oshinowo up'!$AK$2:$AK$4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up'!$AM$2:$AM$4</f>
            </numRef>
          </xVal>
          <yVal>
            <numRef>
              <f>'V Oshinowo up'!$AN$2:$AN$4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up'!$AP$2:$AP$4</f>
            </numRef>
          </xVal>
          <yVal>
            <numRef>
              <f>'V Oshinowo up'!$AQ$2:$AQ$4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up'!$AS$2:$AS$3</f>
            </numRef>
          </xVal>
          <yVal>
            <numRef>
              <f>'V Oshinowo up'!$AT$2:$AT$3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up'!$AV$2</f>
            </numRef>
          </xVal>
          <yVal>
            <numRef>
              <f>'V Oshinowo up'!$AW$2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Frtp/√L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(Qg/Ql)^0.5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HEDH — VERTICAL DOWNWARD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down'!$AD$2:$AD$3</f>
            </numRef>
          </xVal>
          <yVal>
            <numRef>
              <f>'V HEDH down'!$AE$2:$AE$3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down'!$AG$2:$AG$3</f>
            </numRef>
          </xVal>
          <yVal>
            <numRef>
              <f>'V HEDH down'!$AH$2:$AH$3</f>
            </numRef>
          </yVal>
        </ser>
        <ser>
          <idx val="2"/>
          <order val="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down'!$AJ$2</f>
            </numRef>
          </xVal>
          <yVal>
            <numRef>
              <f>'V HEDH down'!$AK$2</f>
            </numRef>
          </yVal>
        </ser>
        <axId val="10"/>
        <axId val="20"/>
      </scatterChart>
      <valAx>
        <axId val="10"/>
        <scaling>
          <orientation val="minMax"/>
          <max val="2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OSHINOWO-CHARLES — VERTICAL DOWNWARD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down'!$AD$2:$AD$4</f>
            </numRef>
          </xVal>
          <yVal>
            <numRef>
              <f>'V Oshinowo down'!$AE$2:$AE$4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down'!$AG$2:$AG$4</f>
            </numRef>
          </xVal>
          <yVal>
            <numRef>
              <f>'V Oshinowo down'!$AH$2:$AH$4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down'!$AJ$2:$AJ$4</f>
            </numRef>
          </xVal>
          <yVal>
            <numRef>
              <f>'V Oshinowo down'!$AK$2:$AK$4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down'!$AM$2:$AM$3</f>
            </numRef>
          </xVal>
          <yVal>
            <numRef>
              <f>'V Oshinowo down'!$AN$2:$AN$3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down'!$AP$2:$AP$4</f>
            </numRef>
          </xVal>
          <yVal>
            <numRef>
              <f>'V Oshinowo down'!$AQ$2:$AQ$4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down'!$AS$2:$AS$3</f>
            </numRef>
          </xVal>
          <yVal>
            <numRef>
              <f>'V Oshinowo down'!$AT$2:$AT$3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down'!$AV$2:$AV$4</f>
            </numRef>
          </xVal>
          <yVal>
            <numRef>
              <f>'V Oshinowo down'!$AW$2:$AW$4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down'!$AY$2</f>
            </numRef>
          </xVal>
          <yVal>
            <numRef>
              <f>'V Oshinowo down'!$AZ$2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Frtp/√L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(Qg/Ql)^0.5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D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6" customWidth="1" min="4" max="4"/>
    <col width="7" customWidth="1" min="5" max="5"/>
    <col width="9" customWidth="1" min="6" max="6"/>
    <col width="11" customWidth="1" min="7" max="7"/>
    <col width="14" customWidth="1" min="8" max="8"/>
    <col width="10" customWidth="1" min="9" max="9"/>
    <col width="16" customWidth="1" min="10" max="10"/>
    <col width="13" customWidth="1" min="11" max="11"/>
    <col width="12" customWidth="1" min="12" max="12"/>
    <col width="10" customWidth="1" min="13" max="13"/>
    <col width="16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8" customWidth="1" min="24" max="24"/>
    <col width="10" customWidth="1" min="25" max="25"/>
    <col width="10" customWidth="1" min="26" max="26"/>
    <col width="16" customWidth="1" min="27" max="27"/>
    <col width="16" customWidth="1" min="28" max="28"/>
    <col width="14" customWidth="1" min="29" max="29"/>
    <col width="36" customWidth="1" min="30" max="30"/>
  </cols>
  <sheetData>
    <row r="1" ht="22" customHeight="1">
      <c r="A1" s="1" t="inlineStr">
        <is>
          <t>FLASH-COUPLED PRESSURE PROFILE  [Main]   |   Circuit C1  ·  Lines: ER-162, H-284   |   Stream: T801-OH   |   isothermal   |   units: SI   |   11-Jun-2026 17:58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NPS</t>
        </is>
      </c>
      <c r="E2" s="2" t="inlineStr">
        <is>
          <t>Sched</t>
        </is>
      </c>
      <c r="F2" s="2" t="inlineStr">
        <is>
          <t>ID (mm)</t>
        </is>
      </c>
      <c r="G2" s="2" t="inlineStr">
        <is>
          <t>Length (m)</t>
        </is>
      </c>
      <c r="H2" s="2" t="inlineStr">
        <is>
          <t>Cum Length (m)</t>
        </is>
      </c>
      <c r="I2" s="2" t="inlineStr">
        <is>
          <t>Elev Δ (m)</t>
        </is>
      </c>
      <c r="J2" s="2" t="inlineStr">
        <is>
          <t>Phase (flash)</t>
        </is>
      </c>
      <c r="K2" s="2" t="inlineStr">
        <is>
          <t>Velocity (m/s)</t>
        </is>
      </c>
      <c r="L2" s="2" t="inlineStr">
        <is>
          <t>Reynolds</t>
        </is>
      </c>
      <c r="M2" s="2" t="inlineStr">
        <is>
          <t>Friction f</t>
        </is>
      </c>
      <c r="N2" s="2" t="inlineStr">
        <is>
          <t>Mix Density (kg/m3)</t>
        </is>
      </c>
      <c r="O2" s="2" t="inlineStr">
        <is>
          <t>dP Fric (kPa)</t>
        </is>
      </c>
      <c r="P2" s="2" t="inlineStr">
        <is>
          <t>dP Fitting (kPa)</t>
        </is>
      </c>
      <c r="Q2" s="2" t="inlineStr">
        <is>
          <t>dP Elev (kPa)</t>
        </is>
      </c>
      <c r="R2" s="2" t="inlineStr">
        <is>
          <t>dP Total (kPa)</t>
        </is>
      </c>
      <c r="S2" s="2" t="inlineStr">
        <is>
          <t>P In (kPa)</t>
        </is>
      </c>
      <c r="T2" s="2" t="inlineStr">
        <is>
          <t>P Out (kPa)</t>
        </is>
      </c>
      <c r="U2" s="3" t="inlineStr">
        <is>
          <t>β (molar vap)</t>
        </is>
      </c>
      <c r="V2" s="3" t="inlineStr">
        <is>
          <t>Quality (mass)</t>
        </is>
      </c>
      <c r="W2" s="3" t="inlineStr">
        <is>
          <t>Vap Mass Flow (kg/hr)</t>
        </is>
      </c>
      <c r="X2" s="3" t="inlineStr">
        <is>
          <t>Liq Mass Flow (kg/hr)</t>
        </is>
      </c>
      <c r="Y2" s="3" t="inlineStr">
        <is>
          <t>MW Vapor</t>
        </is>
      </c>
      <c r="Z2" s="3" t="inlineStr">
        <is>
          <t>MW Liquid</t>
        </is>
      </c>
      <c r="AA2" s="3" t="inlineStr">
        <is>
          <t>Vap Density (kg/m3)</t>
        </is>
      </c>
      <c r="AB2" s="3" t="inlineStr">
        <is>
          <t>Liq Density (kg/m3)</t>
        </is>
      </c>
      <c r="AC2" s="3" t="inlineStr">
        <is>
          <t>GVF (local, vol)</t>
        </is>
      </c>
      <c r="AD2" s="3" t="inlineStr">
        <is>
          <t>Note</t>
        </is>
      </c>
    </row>
    <row r="3" ht="14" customHeight="1">
      <c r="A3" s="4" t="inlineStr">
        <is>
          <t xml:space="preserve">  ▶  LINE: ER-162</t>
        </is>
      </c>
    </row>
    <row r="4">
      <c r="A4" s="5" t="n">
        <v>1</v>
      </c>
      <c r="B4" s="6" t="inlineStr">
        <is>
          <t>ENT-01</t>
        </is>
      </c>
      <c r="C4" s="6" t="inlineStr">
        <is>
          <t>Pipeline Entrance - Sharp Edge</t>
        </is>
      </c>
      <c r="D4" s="6" t="inlineStr">
        <is>
          <t>8</t>
        </is>
      </c>
      <c r="E4" s="6" t="inlineStr">
        <is>
          <t>STD</t>
        </is>
      </c>
      <c r="F4" s="5" t="n">
        <v>202.7174</v>
      </c>
      <c r="G4" s="5" t="n">
        <v>0</v>
      </c>
      <c r="H4" s="5" t="n">
        <v>0</v>
      </c>
      <c r="I4" s="5" t="n">
        <v>0</v>
      </c>
      <c r="J4" s="6" t="inlineStr">
        <is>
          <t>VAPOR</t>
        </is>
      </c>
      <c r="K4" s="5" t="n">
        <v>13.1399</v>
      </c>
      <c r="L4" s="5" t="n">
        <v>3945498</v>
      </c>
      <c r="M4" s="5" t="n">
        <v>0.01438</v>
      </c>
      <c r="N4" s="5" t="n">
        <v>15.58244</v>
      </c>
      <c r="O4" s="5" t="n">
        <v>0</v>
      </c>
      <c r="P4" s="5" t="n">
        <v>0.67258</v>
      </c>
      <c r="Q4" s="5" t="n">
        <v>0</v>
      </c>
      <c r="R4" s="5" t="n">
        <v>0.67258</v>
      </c>
      <c r="S4" s="5" t="n">
        <v>689.4757</v>
      </c>
      <c r="T4" s="7" t="n">
        <v>688.8028</v>
      </c>
      <c r="U4" s="5" t="n">
        <v>1</v>
      </c>
      <c r="V4" s="5" t="n">
        <v>1</v>
      </c>
      <c r="W4" s="5" t="n">
        <v>23790.4</v>
      </c>
      <c r="X4" s="5" t="n">
        <v>0</v>
      </c>
      <c r="Y4" s="5" t="n">
        <v>75.59</v>
      </c>
      <c r="Z4" s="5" t="n">
        <v>75.59</v>
      </c>
      <c r="AA4" s="5" t="n">
        <v>15.582416</v>
      </c>
      <c r="AB4" s="6" t="inlineStr"/>
      <c r="AC4" s="5" t="n">
        <v>1</v>
      </c>
      <c r="AD4" s="6" t="inlineStr">
        <is>
          <t>G1A-5 8" (flash β=1.000)</t>
        </is>
      </c>
    </row>
    <row r="5">
      <c r="A5" s="5" t="n">
        <v>2</v>
      </c>
      <c r="B5" s="6" t="inlineStr">
        <is>
          <t>P-001</t>
        </is>
      </c>
      <c r="C5" s="6" t="inlineStr">
        <is>
          <t>Straight Pipeline</t>
        </is>
      </c>
      <c r="D5" s="6" t="inlineStr">
        <is>
          <t>8</t>
        </is>
      </c>
      <c r="E5" s="6" t="inlineStr">
        <is>
          <t>STD</t>
        </is>
      </c>
      <c r="F5" s="5" t="n">
        <v>202.7174</v>
      </c>
      <c r="G5" s="5" t="n">
        <v>15.24</v>
      </c>
      <c r="H5" s="5" t="n">
        <v>15.24</v>
      </c>
      <c r="I5" s="5" t="n">
        <v>-0.6096</v>
      </c>
      <c r="J5" s="6" t="inlineStr">
        <is>
          <t>VAPOR</t>
        </is>
      </c>
      <c r="K5" s="5" t="n">
        <v>13.1527</v>
      </c>
      <c r="L5" s="5" t="n">
        <v>3945498</v>
      </c>
      <c r="M5" s="5" t="n">
        <v>0.01438</v>
      </c>
      <c r="N5" s="5" t="n">
        <v>15.56722</v>
      </c>
      <c r="O5" s="5" t="n">
        <v>1.45521</v>
      </c>
      <c r="P5" s="5" t="n">
        <v>0</v>
      </c>
      <c r="Q5" s="5" t="n">
        <v>-0.09308</v>
      </c>
      <c r="R5" s="5" t="n">
        <v>1.36213</v>
      </c>
      <c r="S5" s="5" t="n">
        <v>688.8028</v>
      </c>
      <c r="T5" s="7" t="n">
        <v>687.4411</v>
      </c>
      <c r="U5" s="5" t="n">
        <v>1</v>
      </c>
      <c r="V5" s="5" t="n">
        <v>1</v>
      </c>
      <c r="W5" s="5" t="n">
        <v>23790.4</v>
      </c>
      <c r="X5" s="5" t="n">
        <v>0</v>
      </c>
      <c r="Y5" s="5" t="n">
        <v>75.59</v>
      </c>
      <c r="Z5" s="5" t="n">
        <v>75.59</v>
      </c>
      <c r="AA5" s="5" t="n">
        <v>15.567207</v>
      </c>
      <c r="AB5" s="6" t="inlineStr"/>
      <c r="AC5" s="5" t="n">
        <v>1</v>
      </c>
      <c r="AD5" s="6" t="inlineStr">
        <is>
          <t>G1A-5 8" (flash β=1.000)</t>
        </is>
      </c>
    </row>
    <row r="6">
      <c r="A6" s="5" t="n">
        <v>3</v>
      </c>
      <c r="B6" s="6" t="inlineStr">
        <is>
          <t>EL-001</t>
        </is>
      </c>
      <c r="C6" s="6" t="inlineStr">
        <is>
          <t>Elbow 90 Long</t>
        </is>
      </c>
      <c r="D6" s="6" t="inlineStr">
        <is>
          <t>8</t>
        </is>
      </c>
      <c r="E6" s="6" t="inlineStr">
        <is>
          <t>STD</t>
        </is>
      </c>
      <c r="F6" s="5" t="n">
        <v>202.7174</v>
      </c>
      <c r="G6" s="5" t="n">
        <v>0</v>
      </c>
      <c r="H6" s="5" t="n">
        <v>15.24</v>
      </c>
      <c r="I6" s="5" t="n">
        <v>0</v>
      </c>
      <c r="J6" s="6" t="inlineStr">
        <is>
          <t>VAPOR</t>
        </is>
      </c>
      <c r="K6" s="5" t="n">
        <v>13.1786</v>
      </c>
      <c r="L6" s="5" t="n">
        <v>3945498</v>
      </c>
      <c r="M6" s="5" t="n">
        <v>0.01438</v>
      </c>
      <c r="N6" s="5" t="n">
        <v>15.53647</v>
      </c>
      <c r="O6" s="5" t="n">
        <v>0</v>
      </c>
      <c r="P6" s="5" t="n">
        <v>0.40472</v>
      </c>
      <c r="Q6" s="5" t="n">
        <v>0</v>
      </c>
      <c r="R6" s="5" t="n">
        <v>0.40472</v>
      </c>
      <c r="S6" s="5" t="n">
        <v>687.4411</v>
      </c>
      <c r="T6" s="7" t="n">
        <v>687.0364</v>
      </c>
      <c r="U6" s="5" t="n">
        <v>1</v>
      </c>
      <c r="V6" s="5" t="n">
        <v>1</v>
      </c>
      <c r="W6" s="5" t="n">
        <v>23790.4</v>
      </c>
      <c r="X6" s="5" t="n">
        <v>0</v>
      </c>
      <c r="Y6" s="5" t="n">
        <v>75.59</v>
      </c>
      <c r="Z6" s="5" t="n">
        <v>75.59</v>
      </c>
      <c r="AA6" s="5" t="n">
        <v>15.536432</v>
      </c>
      <c r="AB6" s="6" t="inlineStr"/>
      <c r="AC6" s="5" t="n">
        <v>1</v>
      </c>
      <c r="AD6" s="6" t="inlineStr">
        <is>
          <t>G1A-5 8" (flash β=1.000)</t>
        </is>
      </c>
    </row>
    <row r="7">
      <c r="A7" s="5" t="n">
        <v>4</v>
      </c>
      <c r="B7" s="6" t="inlineStr">
        <is>
          <t>TEE-01</t>
        </is>
      </c>
      <c r="C7" s="6" t="inlineStr">
        <is>
          <t>Tee Split Line Flow</t>
        </is>
      </c>
      <c r="D7" s="6" t="inlineStr">
        <is>
          <t>8</t>
        </is>
      </c>
      <c r="E7" s="6" t="inlineStr">
        <is>
          <t>STD</t>
        </is>
      </c>
      <c r="F7" s="5" t="n">
        <v>202.7174</v>
      </c>
      <c r="G7" s="5" t="n">
        <v>0</v>
      </c>
      <c r="H7" s="5" t="n">
        <v>15.24</v>
      </c>
      <c r="I7" s="5" t="n">
        <v>0</v>
      </c>
      <c r="J7" s="6" t="inlineStr">
        <is>
          <t>VAPOR</t>
        </is>
      </c>
      <c r="K7" s="5" t="n">
        <v>7.912</v>
      </c>
      <c r="L7" s="5" t="n">
        <v>2367299</v>
      </c>
      <c r="M7" s="5" t="n">
        <v>0.01454</v>
      </c>
      <c r="N7" s="5" t="n">
        <v>15.52734</v>
      </c>
      <c r="O7" s="5" t="n">
        <v>0</v>
      </c>
      <c r="P7" s="5" t="n">
        <v>0.19436</v>
      </c>
      <c r="Q7" s="5" t="n">
        <v>0</v>
      </c>
      <c r="R7" s="5" t="n">
        <v>0.19436</v>
      </c>
      <c r="S7" s="5" t="n">
        <v>687.0364</v>
      </c>
      <c r="T7" s="7" t="n">
        <v>686.8419</v>
      </c>
      <c r="U7" s="5" t="n">
        <v>1</v>
      </c>
      <c r="V7" s="5" t="n">
        <v>1</v>
      </c>
      <c r="W7" s="5" t="n">
        <v>14274.2</v>
      </c>
      <c r="X7" s="5" t="n">
        <v>0</v>
      </c>
      <c r="Y7" s="5" t="n">
        <v>75.59</v>
      </c>
      <c r="Z7" s="5" t="n">
        <v>75.59</v>
      </c>
      <c r="AA7" s="5" t="n">
        <v>15.527285</v>
      </c>
      <c r="AB7" s="6" t="inlineStr"/>
      <c r="AC7" s="5" t="n">
        <v>1</v>
      </c>
      <c r="AD7" s="6" t="inlineStr">
        <is>
          <t>G1A-5 8" (flash β=1.000) | Tee split -0.400 → flow×0.600</t>
        </is>
      </c>
    </row>
    <row r="8">
      <c r="A8" s="5" t="n">
        <v>5</v>
      </c>
      <c r="B8" s="6" t="inlineStr">
        <is>
          <t>PSV-01</t>
        </is>
      </c>
      <c r="C8" s="6" t="inlineStr">
        <is>
          <t>Fix Pressure</t>
        </is>
      </c>
      <c r="D8" s="6" t="inlineStr">
        <is>
          <t>8</t>
        </is>
      </c>
      <c r="E8" s="6" t="inlineStr">
        <is>
          <t>STD</t>
        </is>
      </c>
      <c r="F8" s="5" t="n">
        <v>202.7174</v>
      </c>
      <c r="G8" s="5" t="n">
        <v>0</v>
      </c>
      <c r="H8" s="5" t="n">
        <v>15.24</v>
      </c>
      <c r="I8" s="5" t="n">
        <v>0</v>
      </c>
      <c r="J8" s="6" t="inlineStr">
        <is>
          <t>VAPOR</t>
        </is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24.13172</v>
      </c>
      <c r="S8" s="5" t="n">
        <v>686.8419</v>
      </c>
      <c r="T8" s="7" t="n">
        <v>662.7103</v>
      </c>
      <c r="U8" s="5" t="n">
        <v>1</v>
      </c>
      <c r="V8" s="5" t="n">
        <v>1</v>
      </c>
      <c r="W8" s="5" t="n">
        <v>14274.2</v>
      </c>
      <c r="X8" s="5" t="n">
        <v>0</v>
      </c>
      <c r="Y8" s="5" t="n">
        <v>75.59</v>
      </c>
      <c r="Z8" s="5" t="n">
        <v>75.59</v>
      </c>
      <c r="AA8" s="5" t="n">
        <v>15.522891</v>
      </c>
      <c r="AB8" s="6" t="inlineStr"/>
      <c r="AC8" s="5" t="n">
        <v>1</v>
      </c>
      <c r="AD8" s="6" t="inlineStr">
        <is>
          <t>Fix Pressure: −3.500 psi (flash β=1.000)</t>
        </is>
      </c>
    </row>
    <row r="9" ht="14" customHeight="1">
      <c r="A9" s="8" t="inlineStr">
        <is>
          <t xml:space="preserve">  ▶  LINE: H-284</t>
        </is>
      </c>
    </row>
    <row r="10">
      <c r="A10" s="9" t="n">
        <v>1</v>
      </c>
      <c r="B10" s="10" t="inlineStr">
        <is>
          <t>P-002</t>
        </is>
      </c>
      <c r="C10" s="10" t="inlineStr">
        <is>
          <t>Straight Pipeline</t>
        </is>
      </c>
      <c r="D10" s="10" t="inlineStr">
        <is>
          <t>8</t>
        </is>
      </c>
      <c r="E10" s="10" t="inlineStr">
        <is>
          <t>STD</t>
        </is>
      </c>
      <c r="F10" s="9" t="n">
        <v>202.7174</v>
      </c>
      <c r="G10" s="9" t="n">
        <v>9.144</v>
      </c>
      <c r="H10" s="9" t="n">
        <v>24.384</v>
      </c>
      <c r="I10" s="9" t="n">
        <v>0</v>
      </c>
      <c r="J10" s="10" t="inlineStr">
        <is>
          <t>VAPOR</t>
        </is>
      </c>
      <c r="K10" s="9" t="n">
        <v>8.202500000000001</v>
      </c>
      <c r="L10" s="9" t="n">
        <v>2367299</v>
      </c>
      <c r="M10" s="9" t="n">
        <v>0.01454</v>
      </c>
      <c r="N10" s="9" t="n">
        <v>14.97742</v>
      </c>
      <c r="O10" s="9" t="n">
        <v>0.33053</v>
      </c>
      <c r="P10" s="9" t="n">
        <v>0</v>
      </c>
      <c r="Q10" s="9" t="n">
        <v>0</v>
      </c>
      <c r="R10" s="9" t="n">
        <v>0.33053</v>
      </c>
      <c r="S10" s="9" t="n">
        <v>662.7103</v>
      </c>
      <c r="T10" s="7" t="n">
        <v>662.3792999999999</v>
      </c>
      <c r="U10" s="9" t="n">
        <v>1</v>
      </c>
      <c r="V10" s="9" t="n">
        <v>1</v>
      </c>
      <c r="W10" s="9" t="n">
        <v>14274.2</v>
      </c>
      <c r="X10" s="9" t="n">
        <v>0</v>
      </c>
      <c r="Y10" s="9" t="n">
        <v>75.59</v>
      </c>
      <c r="Z10" s="9" t="n">
        <v>75.59</v>
      </c>
      <c r="AA10" s="9" t="n">
        <v>14.977507</v>
      </c>
      <c r="AB10" s="10" t="inlineStr"/>
      <c r="AC10" s="9" t="n">
        <v>1</v>
      </c>
      <c r="AD10" s="10" t="inlineStr">
        <is>
          <t>G1A-5 8" (flash β=1.000)</t>
        </is>
      </c>
    </row>
    <row r="11">
      <c r="A11" s="9" t="n">
        <v>2</v>
      </c>
      <c r="B11" s="10" t="inlineStr">
        <is>
          <t>EL-002</t>
        </is>
      </c>
      <c r="C11" s="10" t="inlineStr">
        <is>
          <t>Elbow 90 Long</t>
        </is>
      </c>
      <c r="D11" s="10" t="inlineStr">
        <is>
          <t>8</t>
        </is>
      </c>
      <c r="E11" s="10" t="inlineStr">
        <is>
          <t>STD</t>
        </is>
      </c>
      <c r="F11" s="9" t="n">
        <v>202.7174</v>
      </c>
      <c r="G11" s="9" t="n">
        <v>0</v>
      </c>
      <c r="H11" s="9" t="n">
        <v>24.384</v>
      </c>
      <c r="I11" s="9" t="n">
        <v>0</v>
      </c>
      <c r="J11" s="10" t="inlineStr">
        <is>
          <t>VAPOR</t>
        </is>
      </c>
      <c r="K11" s="9" t="n">
        <v>8.2064</v>
      </c>
      <c r="L11" s="9" t="n">
        <v>2367299</v>
      </c>
      <c r="M11" s="9" t="n">
        <v>0.01454</v>
      </c>
      <c r="N11" s="9" t="n">
        <v>14.97005</v>
      </c>
      <c r="O11" s="9" t="n">
        <v>0</v>
      </c>
      <c r="P11" s="9" t="n">
        <v>0.1512</v>
      </c>
      <c r="Q11" s="9" t="n">
        <v>0</v>
      </c>
      <c r="R11" s="9" t="n">
        <v>0.1512</v>
      </c>
      <c r="S11" s="9" t="n">
        <v>662.3792999999999</v>
      </c>
      <c r="T11" s="7" t="n">
        <v>662.2283</v>
      </c>
      <c r="U11" s="9" t="n">
        <v>1</v>
      </c>
      <c r="V11" s="9" t="n">
        <v>1</v>
      </c>
      <c r="W11" s="9" t="n">
        <v>14274.2</v>
      </c>
      <c r="X11" s="9" t="n">
        <v>0</v>
      </c>
      <c r="Y11" s="9" t="n">
        <v>75.59</v>
      </c>
      <c r="Z11" s="9" t="n">
        <v>75.59</v>
      </c>
      <c r="AA11" s="9" t="n">
        <v>14.970027</v>
      </c>
      <c r="AB11" s="10" t="inlineStr"/>
      <c r="AC11" s="9" t="n">
        <v>1</v>
      </c>
      <c r="AD11" s="10" t="inlineStr">
        <is>
          <t>G1A-5 8" (flash β=1.000)</t>
        </is>
      </c>
    </row>
    <row r="12">
      <c r="A12" s="9" t="n">
        <v>3</v>
      </c>
      <c r="B12" s="10" t="inlineStr">
        <is>
          <t>VLV-01</t>
        </is>
      </c>
      <c r="C12" s="10" t="inlineStr">
        <is>
          <t>Fix K</t>
        </is>
      </c>
      <c r="D12" s="10" t="inlineStr">
        <is>
          <t>8</t>
        </is>
      </c>
      <c r="E12" s="10" t="inlineStr">
        <is>
          <t>STD</t>
        </is>
      </c>
      <c r="F12" s="9" t="n">
        <v>202.7174</v>
      </c>
      <c r="G12" s="9" t="n">
        <v>0</v>
      </c>
      <c r="H12" s="9" t="n">
        <v>24.384</v>
      </c>
      <c r="I12" s="9" t="n">
        <v>0</v>
      </c>
      <c r="J12" s="10" t="inlineStr">
        <is>
          <t>VAPOR</t>
        </is>
      </c>
      <c r="K12" s="9" t="n">
        <v>8.208299999999999</v>
      </c>
      <c r="L12" s="9" t="n">
        <v>2367299</v>
      </c>
      <c r="M12" s="9" t="n">
        <v>0.01454</v>
      </c>
      <c r="N12" s="9" t="n">
        <v>14.96669</v>
      </c>
      <c r="O12" s="9" t="n">
        <v>0</v>
      </c>
      <c r="P12" s="9" t="n">
        <v>3.63023</v>
      </c>
      <c r="Q12" s="9" t="n">
        <v>0</v>
      </c>
      <c r="R12" s="9" t="n">
        <v>3.63023</v>
      </c>
      <c r="S12" s="9" t="n">
        <v>662.2283</v>
      </c>
      <c r="T12" s="7" t="n">
        <v>658.5982</v>
      </c>
      <c r="U12" s="9" t="n">
        <v>1</v>
      </c>
      <c r="V12" s="9" t="n">
        <v>1</v>
      </c>
      <c r="W12" s="9" t="n">
        <v>14274.2</v>
      </c>
      <c r="X12" s="9" t="n">
        <v>0</v>
      </c>
      <c r="Y12" s="9" t="n">
        <v>75.59</v>
      </c>
      <c r="Z12" s="9" t="n">
        <v>75.59</v>
      </c>
      <c r="AA12" s="9" t="n">
        <v>14.966614</v>
      </c>
      <c r="AB12" s="10" t="inlineStr"/>
      <c r="AC12" s="9" t="n">
        <v>1</v>
      </c>
      <c r="AD12" s="10" t="inlineStr">
        <is>
          <t>G1A-5 8" | K=7.2 (flash β=1.000)</t>
        </is>
      </c>
    </row>
    <row r="14">
      <c r="A14" s="11" t="inlineStr">
        <is>
          <t>TOTAL</t>
        </is>
      </c>
      <c r="B14" s="12" t="inlineStr">
        <is>
          <t>ΔP = 30.8775 kPa over 24.38 m (8 components  ·  2 lines)</t>
        </is>
      </c>
    </row>
  </sheetData>
  <autoFilter ref="A2:AD2"/>
  <mergeCells count="3">
    <mergeCell ref="A9:AD9"/>
    <mergeCell ref="A3:AD3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L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13" customWidth="1" min="5" max="5"/>
    <col width="20" customWidth="1" min="6" max="6"/>
    <col width="20" customWidth="1" min="7" max="7"/>
    <col width="16" customWidth="1" min="8" max="8"/>
    <col width="16" customWidth="1" min="9" max="9"/>
    <col width="10" customWidth="1" min="10" max="10"/>
    <col width="10" customWidth="1" min="11" max="11"/>
  </cols>
  <sheetData>
    <row r="1" ht="20" customHeight="1">
      <c r="A1" s="13" t="inlineStr">
        <is>
          <t>RIGOROUS FLASH PROFILE [Main]  —  isothermal VLE vs pressure</t>
        </is>
      </c>
    </row>
    <row r="3">
      <c r="A3" s="14" t="inlineStr">
        <is>
          <t>Feed components</t>
        </is>
      </c>
      <c r="B3" s="15" t="n">
        <v>75</v>
      </c>
      <c r="C3" s="16" t="inlineStr"/>
    </row>
    <row r="4">
      <c r="A4" s="14" t="inlineStr">
        <is>
          <t>Total molar rate</t>
        </is>
      </c>
      <c r="B4" s="15" t="n">
        <v>314.71</v>
      </c>
      <c r="C4" s="16" t="inlineStr">
        <is>
          <t>kgmol/hr</t>
        </is>
      </c>
    </row>
    <row r="5">
      <c r="A5" s="14" t="inlineStr">
        <is>
          <t>Total mass rate</t>
        </is>
      </c>
      <c r="B5" s="15" t="n">
        <v>23790.4</v>
      </c>
      <c r="C5" s="16" t="inlineStr">
        <is>
          <t>kg/hr</t>
        </is>
      </c>
    </row>
    <row r="6">
      <c r="A6" s="14" t="inlineStr">
        <is>
          <t>Total MW</t>
        </is>
      </c>
      <c r="B6" s="15" t="n">
        <v>75.595</v>
      </c>
      <c r="C6" s="16" t="inlineStr"/>
    </row>
    <row r="7">
      <c r="A7" s="14" t="inlineStr">
        <is>
          <t>Reference pressure</t>
        </is>
      </c>
      <c r="B7" s="15" t="n">
        <v>721.8531</v>
      </c>
      <c r="C7" s="16" t="inlineStr">
        <is>
          <t>kPa</t>
        </is>
      </c>
    </row>
    <row r="8">
      <c r="A8" s="14" t="inlineStr">
        <is>
          <t>Reference temperature</t>
        </is>
      </c>
      <c r="B8" s="15" t="n">
        <v>173.28</v>
      </c>
      <c r="C8" s="16" t="inlineStr">
        <is>
          <t>°C (isothermal)</t>
        </is>
      </c>
    </row>
    <row r="9">
      <c r="A9" s="14" t="inlineStr">
        <is>
          <t>Reference molar vap frac β₀</t>
        </is>
      </c>
      <c r="B9" s="15" t="n">
        <v>1</v>
      </c>
      <c r="C9" s="16" t="inlineStr">
        <is>
          <t>anchored to HMB</t>
        </is>
      </c>
    </row>
    <row r="11" ht="32" customHeight="1">
      <c r="A11" s="2" t="inlineStr">
        <is>
          <t>Seq</t>
        </is>
      </c>
      <c r="B11" s="2" t="inlineStr">
        <is>
          <t>Comp ID</t>
        </is>
      </c>
      <c r="C11" s="2" t="inlineStr">
        <is>
          <t>P In (kPa)</t>
        </is>
      </c>
      <c r="D11" s="2" t="inlineStr">
        <is>
          <t>β (molar)</t>
        </is>
      </c>
      <c r="E11" s="2" t="inlineStr">
        <is>
          <t>Quality (mass)</t>
        </is>
      </c>
      <c r="F11" s="2" t="inlineStr">
        <is>
          <t>Vap Moles (kgmol/hr)</t>
        </is>
      </c>
      <c r="G11" s="2" t="inlineStr">
        <is>
          <t>Liq Moles (kgmol/hr)</t>
        </is>
      </c>
      <c r="H11" s="2" t="inlineStr">
        <is>
          <t>Vap Mass (kg/hr)</t>
        </is>
      </c>
      <c r="I11" s="2" t="inlineStr">
        <is>
          <t>Liq Mass (kg/hr)</t>
        </is>
      </c>
      <c r="J11" s="2" t="inlineStr">
        <is>
          <t>MW Vapor</t>
        </is>
      </c>
      <c r="K11" s="2" t="inlineStr">
        <is>
          <t>MW Liquid</t>
        </is>
      </c>
    </row>
    <row r="12">
      <c r="A12" s="17" t="n">
        <v>1</v>
      </c>
      <c r="B12" s="18" t="inlineStr">
        <is>
          <t>ENT-01</t>
        </is>
      </c>
      <c r="C12" s="17" t="n">
        <v>689.4757</v>
      </c>
      <c r="D12" s="17" t="n">
        <v>1</v>
      </c>
      <c r="E12" s="17" t="n">
        <v>1</v>
      </c>
      <c r="F12" s="17" t="n">
        <v>314.71</v>
      </c>
      <c r="G12" s="17" t="n">
        <v>0</v>
      </c>
      <c r="H12" s="17" t="n">
        <v>23790.4</v>
      </c>
      <c r="I12" s="17" t="n">
        <v>0</v>
      </c>
      <c r="J12" s="17" t="n">
        <v>75.59</v>
      </c>
      <c r="K12" s="17" t="n">
        <v>75.59</v>
      </c>
    </row>
    <row r="13">
      <c r="A13" s="19" t="n">
        <v>2</v>
      </c>
      <c r="B13" s="20" t="inlineStr">
        <is>
          <t>P-001</t>
        </is>
      </c>
      <c r="C13" s="19" t="n">
        <v>688.8028</v>
      </c>
      <c r="D13" s="19" t="n">
        <v>1</v>
      </c>
      <c r="E13" s="19" t="n">
        <v>1</v>
      </c>
      <c r="F13" s="19" t="n">
        <v>314.71</v>
      </c>
      <c r="G13" s="19" t="n">
        <v>0</v>
      </c>
      <c r="H13" s="19" t="n">
        <v>23790.4</v>
      </c>
      <c r="I13" s="19" t="n">
        <v>0</v>
      </c>
      <c r="J13" s="19" t="n">
        <v>75.59</v>
      </c>
      <c r="K13" s="19" t="n">
        <v>75.59</v>
      </c>
    </row>
    <row r="14">
      <c r="A14" s="17" t="n">
        <v>3</v>
      </c>
      <c r="B14" s="18" t="inlineStr">
        <is>
          <t>EL-001</t>
        </is>
      </c>
      <c r="C14" s="17" t="n">
        <v>687.4411</v>
      </c>
      <c r="D14" s="17" t="n">
        <v>1</v>
      </c>
      <c r="E14" s="17" t="n">
        <v>1</v>
      </c>
      <c r="F14" s="17" t="n">
        <v>314.71</v>
      </c>
      <c r="G14" s="17" t="n">
        <v>0</v>
      </c>
      <c r="H14" s="17" t="n">
        <v>23790.4</v>
      </c>
      <c r="I14" s="17" t="n">
        <v>0</v>
      </c>
      <c r="J14" s="17" t="n">
        <v>75.59</v>
      </c>
      <c r="K14" s="17" t="n">
        <v>75.59</v>
      </c>
    </row>
    <row r="15">
      <c r="A15" s="19" t="n">
        <v>4</v>
      </c>
      <c r="B15" s="20" t="inlineStr">
        <is>
          <t>TEE-01</t>
        </is>
      </c>
      <c r="C15" s="19" t="n">
        <v>687.0364</v>
      </c>
      <c r="D15" s="19" t="n">
        <v>1</v>
      </c>
      <c r="E15" s="19" t="n">
        <v>1</v>
      </c>
      <c r="F15" s="19" t="n">
        <v>188.826</v>
      </c>
      <c r="G15" s="19" t="n">
        <v>0</v>
      </c>
      <c r="H15" s="19" t="n">
        <v>14274.2</v>
      </c>
      <c r="I15" s="19" t="n">
        <v>0</v>
      </c>
      <c r="J15" s="19" t="n">
        <v>75.59</v>
      </c>
      <c r="K15" s="19" t="n">
        <v>75.59</v>
      </c>
    </row>
    <row r="16">
      <c r="A16" s="17" t="n">
        <v>5</v>
      </c>
      <c r="B16" s="18" t="inlineStr">
        <is>
          <t>PSV-01</t>
        </is>
      </c>
      <c r="C16" s="17" t="n">
        <v>686.8419</v>
      </c>
      <c r="D16" s="17" t="n">
        <v>1</v>
      </c>
      <c r="E16" s="17" t="n">
        <v>1</v>
      </c>
      <c r="F16" s="17" t="n">
        <v>188.826</v>
      </c>
      <c r="G16" s="17" t="n">
        <v>0</v>
      </c>
      <c r="H16" s="17" t="n">
        <v>14274.2</v>
      </c>
      <c r="I16" s="17" t="n">
        <v>0</v>
      </c>
      <c r="J16" s="17" t="n">
        <v>75.59</v>
      </c>
      <c r="K16" s="17" t="n">
        <v>75.59</v>
      </c>
    </row>
    <row r="17">
      <c r="A17" s="19" t="n">
        <v>1</v>
      </c>
      <c r="B17" s="20" t="inlineStr">
        <is>
          <t>P-002</t>
        </is>
      </c>
      <c r="C17" s="19" t="n">
        <v>662.7103</v>
      </c>
      <c r="D17" s="19" t="n">
        <v>1</v>
      </c>
      <c r="E17" s="19" t="n">
        <v>1</v>
      </c>
      <c r="F17" s="19" t="n">
        <v>188.826</v>
      </c>
      <c r="G17" s="19" t="n">
        <v>0</v>
      </c>
      <c r="H17" s="19" t="n">
        <v>14274.2</v>
      </c>
      <c r="I17" s="19" t="n">
        <v>0</v>
      </c>
      <c r="J17" s="19" t="n">
        <v>75.59</v>
      </c>
      <c r="K17" s="19" t="n">
        <v>75.59</v>
      </c>
    </row>
    <row r="18">
      <c r="A18" s="17" t="n">
        <v>2</v>
      </c>
      <c r="B18" s="18" t="inlineStr">
        <is>
          <t>EL-002</t>
        </is>
      </c>
      <c r="C18" s="17" t="n">
        <v>662.3792999999999</v>
      </c>
      <c r="D18" s="17" t="n">
        <v>1</v>
      </c>
      <c r="E18" s="17" t="n">
        <v>1</v>
      </c>
      <c r="F18" s="17" t="n">
        <v>188.826</v>
      </c>
      <c r="G18" s="17" t="n">
        <v>0</v>
      </c>
      <c r="H18" s="17" t="n">
        <v>14274.2</v>
      </c>
      <c r="I18" s="17" t="n">
        <v>0</v>
      </c>
      <c r="J18" s="17" t="n">
        <v>75.59</v>
      </c>
      <c r="K18" s="17" t="n">
        <v>75.59</v>
      </c>
    </row>
    <row r="19">
      <c r="A19" s="19" t="n">
        <v>3</v>
      </c>
      <c r="B19" s="20" t="inlineStr">
        <is>
          <t>VLV-01</t>
        </is>
      </c>
      <c r="C19" s="19" t="n">
        <v>662.2283</v>
      </c>
      <c r="D19" s="19" t="n">
        <v>1</v>
      </c>
      <c r="E19" s="19" t="n">
        <v>1</v>
      </c>
      <c r="F19" s="19" t="n">
        <v>188.826</v>
      </c>
      <c r="G19" s="19" t="n">
        <v>0</v>
      </c>
      <c r="H19" s="19" t="n">
        <v>14274.2</v>
      </c>
      <c r="I19" s="19" t="n">
        <v>0</v>
      </c>
      <c r="J19" s="19" t="n">
        <v>75.59</v>
      </c>
      <c r="K19" s="19" t="n">
        <v>75.59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3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3" t="inlineStr">
        <is>
          <t>COMPOSITION SPLITS (mass &amp; molar)   |   Circuit C1   |   Stream T801-OH   |   11-Jun-2026 17:58</t>
        </is>
      </c>
    </row>
    <row r="3">
      <c r="A3" s="11" t="inlineStr">
        <is>
          <t>MASS FLOW  (kg/hr)</t>
        </is>
      </c>
    </row>
    <row r="4" ht="26" customHeight="1">
      <c r="A4" s="21" t="inlineStr">
        <is>
          <t>Component</t>
        </is>
      </c>
      <c r="B4" s="22" t="inlineStr">
        <is>
          <t>1 · ENT-01</t>
        </is>
      </c>
      <c r="C4" s="22" t="inlineStr">
        <is>
          <t>2 · P-001</t>
        </is>
      </c>
      <c r="D4" s="22" t="inlineStr">
        <is>
          <t>3 · EL-001</t>
        </is>
      </c>
      <c r="E4" s="22" t="inlineStr">
        <is>
          <t>4 · TEE-01</t>
        </is>
      </c>
      <c r="F4" s="22" t="inlineStr">
        <is>
          <t>5 · PSV-01</t>
        </is>
      </c>
      <c r="G4" s="23" t="inlineStr">
        <is>
          <t>1 · P-002</t>
        </is>
      </c>
      <c r="H4" s="23" t="inlineStr">
        <is>
          <t>2 · EL-002</t>
        </is>
      </c>
      <c r="I4" s="23" t="inlineStr">
        <is>
          <t>3 · VLV-01</t>
        </is>
      </c>
    </row>
    <row r="5">
      <c r="A5" s="24" t="inlineStr">
        <is>
          <t>PROPANE</t>
        </is>
      </c>
      <c r="B5" s="25" t="n">
        <v>1323.53</v>
      </c>
      <c r="C5" s="25" t="n">
        <v>1323.53</v>
      </c>
      <c r="D5" s="25" t="n">
        <v>1323.53</v>
      </c>
      <c r="E5" s="25" t="n">
        <v>794.12</v>
      </c>
      <c r="F5" s="25" t="n">
        <v>794.12</v>
      </c>
      <c r="G5" s="25" t="n">
        <v>794.12</v>
      </c>
      <c r="H5" s="25" t="n">
        <v>794.12</v>
      </c>
      <c r="I5" s="25" t="n">
        <v>794.12</v>
      </c>
    </row>
    <row r="6">
      <c r="A6" s="24" t="inlineStr">
        <is>
          <t>NC4</t>
        </is>
      </c>
      <c r="B6" s="25" t="n">
        <v>1609.55</v>
      </c>
      <c r="C6" s="25" t="n">
        <v>1609.55</v>
      </c>
      <c r="D6" s="25" t="n">
        <v>1609.55</v>
      </c>
      <c r="E6" s="25" t="n">
        <v>965.73</v>
      </c>
      <c r="F6" s="25" t="n">
        <v>965.73</v>
      </c>
      <c r="G6" s="25" t="n">
        <v>965.73</v>
      </c>
      <c r="H6" s="25" t="n">
        <v>965.73</v>
      </c>
      <c r="I6" s="25" t="n">
        <v>965.73</v>
      </c>
    </row>
    <row r="7">
      <c r="A7" s="24" t="inlineStr">
        <is>
          <t>PF208A66D_6</t>
        </is>
      </c>
      <c r="B7" s="25" t="n">
        <v>2520.65</v>
      </c>
      <c r="C7" s="25" t="n">
        <v>2520.65</v>
      </c>
      <c r="D7" s="25" t="n">
        <v>2520.65</v>
      </c>
      <c r="E7" s="25" t="n">
        <v>1512.39</v>
      </c>
      <c r="F7" s="25" t="n">
        <v>1512.39</v>
      </c>
      <c r="G7" s="25" t="n">
        <v>1512.39</v>
      </c>
      <c r="H7" s="25" t="n">
        <v>1512.39</v>
      </c>
      <c r="I7" s="25" t="n">
        <v>1512.39</v>
      </c>
    </row>
    <row r="8">
      <c r="A8" s="24" t="inlineStr">
        <is>
          <t>PF231A63D_6</t>
        </is>
      </c>
      <c r="B8" s="25" t="n">
        <v>2325.65</v>
      </c>
      <c r="C8" s="25" t="n">
        <v>2325.65</v>
      </c>
      <c r="D8" s="25" t="n">
        <v>2325.65</v>
      </c>
      <c r="E8" s="25" t="n">
        <v>1395.39</v>
      </c>
      <c r="F8" s="25" t="n">
        <v>1395.39</v>
      </c>
      <c r="G8" s="25" t="n">
        <v>1395.39</v>
      </c>
      <c r="H8" s="25" t="n">
        <v>1395.39</v>
      </c>
      <c r="I8" s="25" t="n">
        <v>1395.39</v>
      </c>
    </row>
    <row r="9">
      <c r="A9" s="24" t="inlineStr">
        <is>
          <t>PF258A61D_6</t>
        </is>
      </c>
      <c r="B9" s="25" t="n">
        <v>2145.6</v>
      </c>
      <c r="C9" s="25" t="n">
        <v>2145.6</v>
      </c>
      <c r="D9" s="25" t="n">
        <v>2145.6</v>
      </c>
      <c r="E9" s="25" t="n">
        <v>1287.36</v>
      </c>
      <c r="F9" s="25" t="n">
        <v>1287.36</v>
      </c>
      <c r="G9" s="25" t="n">
        <v>1287.36</v>
      </c>
      <c r="H9" s="25" t="n">
        <v>1287.36</v>
      </c>
      <c r="I9" s="25" t="n">
        <v>1287.36</v>
      </c>
    </row>
    <row r="10">
      <c r="A10" s="24" t="inlineStr">
        <is>
          <t>PF183A70D_6</t>
        </is>
      </c>
      <c r="B10" s="25" t="n">
        <v>1653.54</v>
      </c>
      <c r="C10" s="25" t="n">
        <v>1653.54</v>
      </c>
      <c r="D10" s="25" t="n">
        <v>1653.54</v>
      </c>
      <c r="E10" s="25" t="n">
        <v>992.12</v>
      </c>
      <c r="F10" s="25" t="n">
        <v>992.12</v>
      </c>
      <c r="G10" s="25" t="n">
        <v>992.12</v>
      </c>
      <c r="H10" s="25" t="n">
        <v>992.12</v>
      </c>
      <c r="I10" s="25" t="n">
        <v>992.12</v>
      </c>
    </row>
    <row r="11">
      <c r="A11" s="24" t="inlineStr">
        <is>
          <t>ETHANE</t>
        </is>
      </c>
      <c r="B11" s="25" t="n">
        <v>527.08</v>
      </c>
      <c r="C11" s="25" t="n">
        <v>527.08</v>
      </c>
      <c r="D11" s="25" t="n">
        <v>527.08</v>
      </c>
      <c r="E11" s="25" t="n">
        <v>316.25</v>
      </c>
      <c r="F11" s="25" t="n">
        <v>316.25</v>
      </c>
      <c r="G11" s="25" t="n">
        <v>316.25</v>
      </c>
      <c r="H11" s="25" t="n">
        <v>316.25</v>
      </c>
      <c r="I11" s="25" t="n">
        <v>316.25</v>
      </c>
    </row>
    <row r="12">
      <c r="A12" s="24" t="inlineStr">
        <is>
          <t>NC5</t>
        </is>
      </c>
      <c r="B12" s="25" t="n">
        <v>1260.77</v>
      </c>
      <c r="C12" s="25" t="n">
        <v>1260.77</v>
      </c>
      <c r="D12" s="25" t="n">
        <v>1260.77</v>
      </c>
      <c r="E12" s="25" t="n">
        <v>756.46</v>
      </c>
      <c r="F12" s="25" t="n">
        <v>756.46</v>
      </c>
      <c r="G12" s="25" t="n">
        <v>756.46</v>
      </c>
      <c r="H12" s="25" t="n">
        <v>756.46</v>
      </c>
      <c r="I12" s="25" t="n">
        <v>756.46</v>
      </c>
    </row>
    <row r="13">
      <c r="A13" s="24" t="inlineStr">
        <is>
          <t>PF282A58D_6</t>
        </is>
      </c>
      <c r="B13" s="25" t="n">
        <v>2051.37</v>
      </c>
      <c r="C13" s="25" t="n">
        <v>2051.37</v>
      </c>
      <c r="D13" s="25" t="n">
        <v>2051.37</v>
      </c>
      <c r="E13" s="25" t="n">
        <v>1230.82</v>
      </c>
      <c r="F13" s="25" t="n">
        <v>1230.82</v>
      </c>
      <c r="G13" s="25" t="n">
        <v>1230.82</v>
      </c>
      <c r="H13" s="25" t="n">
        <v>1230.82</v>
      </c>
      <c r="I13" s="25" t="n">
        <v>1230.82</v>
      </c>
    </row>
    <row r="14">
      <c r="A14" s="24" t="inlineStr">
        <is>
          <t>IC4</t>
        </is>
      </c>
      <c r="B14" s="25" t="n">
        <v>948.5700000000001</v>
      </c>
      <c r="C14" s="25" t="n">
        <v>948.5700000000001</v>
      </c>
      <c r="D14" s="25" t="n">
        <v>948.5700000000001</v>
      </c>
      <c r="E14" s="25" t="n">
        <v>569.14</v>
      </c>
      <c r="F14" s="25" t="n">
        <v>569.14</v>
      </c>
      <c r="G14" s="25" t="n">
        <v>569.14</v>
      </c>
      <c r="H14" s="25" t="n">
        <v>569.14</v>
      </c>
      <c r="I14" s="25" t="n">
        <v>569.14</v>
      </c>
    </row>
    <row r="15">
      <c r="A15" s="24" t="inlineStr">
        <is>
          <t>IC5</t>
        </is>
      </c>
      <c r="B15" s="25" t="n">
        <v>981.85</v>
      </c>
      <c r="C15" s="25" t="n">
        <v>981.85</v>
      </c>
      <c r="D15" s="25" t="n">
        <v>981.85</v>
      </c>
      <c r="E15" s="25" t="n">
        <v>589.11</v>
      </c>
      <c r="F15" s="25" t="n">
        <v>589.11</v>
      </c>
      <c r="G15" s="25" t="n">
        <v>589.11</v>
      </c>
      <c r="H15" s="25" t="n">
        <v>589.11</v>
      </c>
      <c r="I15" s="25" t="n">
        <v>589.11</v>
      </c>
    </row>
    <row r="16">
      <c r="A16" s="24" t="inlineStr">
        <is>
          <t>PF129A74D_6</t>
        </is>
      </c>
      <c r="B16" s="25" t="n">
        <v>960.85</v>
      </c>
      <c r="C16" s="25" t="n">
        <v>960.85</v>
      </c>
      <c r="D16" s="25" t="n">
        <v>960.85</v>
      </c>
      <c r="E16" s="25" t="n">
        <v>576.51</v>
      </c>
      <c r="F16" s="25" t="n">
        <v>576.51</v>
      </c>
      <c r="G16" s="25" t="n">
        <v>576.51</v>
      </c>
      <c r="H16" s="25" t="n">
        <v>576.51</v>
      </c>
      <c r="I16" s="25" t="n">
        <v>576.51</v>
      </c>
    </row>
    <row r="17">
      <c r="A17" s="24" t="inlineStr">
        <is>
          <t>H2S</t>
        </is>
      </c>
      <c r="B17" s="25" t="n">
        <v>418.28</v>
      </c>
      <c r="C17" s="25" t="n">
        <v>418.28</v>
      </c>
      <c r="D17" s="25" t="n">
        <v>418.28</v>
      </c>
      <c r="E17" s="25" t="n">
        <v>250.97</v>
      </c>
      <c r="F17" s="25" t="n">
        <v>250.97</v>
      </c>
      <c r="G17" s="25" t="n">
        <v>250.97</v>
      </c>
      <c r="H17" s="25" t="n">
        <v>250.97</v>
      </c>
      <c r="I17" s="25" t="n">
        <v>250.97</v>
      </c>
    </row>
    <row r="18">
      <c r="A18" s="24" t="inlineStr">
        <is>
          <t>PF158A72D_6</t>
        </is>
      </c>
      <c r="B18" s="25" t="n">
        <v>1002.97</v>
      </c>
      <c r="C18" s="25" t="n">
        <v>1002.97</v>
      </c>
      <c r="D18" s="25" t="n">
        <v>1002.97</v>
      </c>
      <c r="E18" s="25" t="n">
        <v>601.78</v>
      </c>
      <c r="F18" s="25" t="n">
        <v>601.78</v>
      </c>
      <c r="G18" s="25" t="n">
        <v>601.78</v>
      </c>
      <c r="H18" s="25" t="n">
        <v>601.78</v>
      </c>
      <c r="I18" s="25" t="n">
        <v>601.78</v>
      </c>
    </row>
    <row r="19">
      <c r="A19" s="24" t="inlineStr">
        <is>
          <t>H2</t>
        </is>
      </c>
      <c r="B19" s="25" t="n">
        <v>22.36</v>
      </c>
      <c r="C19" s="25" t="n">
        <v>22.36</v>
      </c>
      <c r="D19" s="25" t="n">
        <v>22.36</v>
      </c>
      <c r="E19" s="25" t="n">
        <v>13.42</v>
      </c>
      <c r="F19" s="25" t="n">
        <v>13.42</v>
      </c>
      <c r="G19" s="25" t="n">
        <v>13.42</v>
      </c>
      <c r="H19" s="25" t="n">
        <v>13.42</v>
      </c>
      <c r="I19" s="25" t="n">
        <v>13.42</v>
      </c>
    </row>
    <row r="20">
      <c r="A20" s="24" t="inlineStr">
        <is>
          <t>PF308A56D_6</t>
        </is>
      </c>
      <c r="B20" s="25" t="n">
        <v>1154.67</v>
      </c>
      <c r="C20" s="25" t="n">
        <v>1154.67</v>
      </c>
      <c r="D20" s="25" t="n">
        <v>1154.67</v>
      </c>
      <c r="E20" s="25" t="n">
        <v>692.8</v>
      </c>
      <c r="F20" s="25" t="n">
        <v>692.8</v>
      </c>
      <c r="G20" s="25" t="n">
        <v>692.8</v>
      </c>
      <c r="H20" s="25" t="n">
        <v>692.8</v>
      </c>
      <c r="I20" s="25" t="n">
        <v>692.8</v>
      </c>
    </row>
    <row r="21">
      <c r="A21" s="24" t="inlineStr">
        <is>
          <t>METHANE</t>
        </is>
      </c>
      <c r="B21" s="25" t="n">
        <v>134.15</v>
      </c>
      <c r="C21" s="25" t="n">
        <v>134.15</v>
      </c>
      <c r="D21" s="25" t="n">
        <v>134.15</v>
      </c>
      <c r="E21" s="25" t="n">
        <v>80.48999999999999</v>
      </c>
      <c r="F21" s="25" t="n">
        <v>80.48999999999999</v>
      </c>
      <c r="G21" s="25" t="n">
        <v>80.48999999999999</v>
      </c>
      <c r="H21" s="25" t="n">
        <v>80.48999999999999</v>
      </c>
      <c r="I21" s="25" t="n">
        <v>80.48999999999999</v>
      </c>
    </row>
    <row r="22">
      <c r="A22" s="24" t="inlineStr">
        <is>
          <t>PF333A55D_6</t>
        </is>
      </c>
      <c r="B22" s="25" t="n">
        <v>827.13</v>
      </c>
      <c r="C22" s="25" t="n">
        <v>827.13</v>
      </c>
      <c r="D22" s="25" t="n">
        <v>827.13</v>
      </c>
      <c r="E22" s="25" t="n">
        <v>496.28</v>
      </c>
      <c r="F22" s="25" t="n">
        <v>496.28</v>
      </c>
      <c r="G22" s="25" t="n">
        <v>496.28</v>
      </c>
      <c r="H22" s="25" t="n">
        <v>496.28</v>
      </c>
      <c r="I22" s="25" t="n">
        <v>496.28</v>
      </c>
    </row>
    <row r="23">
      <c r="A23" s="24" t="inlineStr">
        <is>
          <t>PF359A53D_6</t>
        </is>
      </c>
      <c r="B23" s="25" t="n">
        <v>335.44</v>
      </c>
      <c r="C23" s="25" t="n">
        <v>335.44</v>
      </c>
      <c r="D23" s="25" t="n">
        <v>335.44</v>
      </c>
      <c r="E23" s="25" t="n">
        <v>201.27</v>
      </c>
      <c r="F23" s="25" t="n">
        <v>201.27</v>
      </c>
      <c r="G23" s="25" t="n">
        <v>201.27</v>
      </c>
      <c r="H23" s="25" t="n">
        <v>201.27</v>
      </c>
      <c r="I23" s="25" t="n">
        <v>201.27</v>
      </c>
    </row>
    <row r="24">
      <c r="A24" s="24" t="inlineStr">
        <is>
          <t>PF115A77D_6</t>
        </is>
      </c>
      <c r="B24" s="25" t="n">
        <v>131.56</v>
      </c>
      <c r="C24" s="25" t="n">
        <v>131.56</v>
      </c>
      <c r="D24" s="25" t="n">
        <v>131.56</v>
      </c>
      <c r="E24" s="25" t="n">
        <v>78.94</v>
      </c>
      <c r="F24" s="25" t="n">
        <v>78.94</v>
      </c>
      <c r="G24" s="25" t="n">
        <v>78.94</v>
      </c>
      <c r="H24" s="25" t="n">
        <v>78.94</v>
      </c>
      <c r="I24" s="25" t="n">
        <v>78.94</v>
      </c>
    </row>
    <row r="25">
      <c r="A25" s="24" t="inlineStr">
        <is>
          <t>H2O</t>
        </is>
      </c>
      <c r="B25" s="25" t="n">
        <v>23.18</v>
      </c>
      <c r="C25" s="25" t="n">
        <v>23.18</v>
      </c>
      <c r="D25" s="25" t="n">
        <v>23.18</v>
      </c>
      <c r="E25" s="25" t="n">
        <v>13.91</v>
      </c>
      <c r="F25" s="25" t="n">
        <v>13.91</v>
      </c>
      <c r="G25" s="25" t="n">
        <v>13.91</v>
      </c>
      <c r="H25" s="25" t="n">
        <v>13.91</v>
      </c>
      <c r="I25" s="25" t="n">
        <v>13.91</v>
      </c>
    </row>
    <row r="26">
      <c r="A26" s="24" t="inlineStr">
        <is>
          <t>PF307A56D_3</t>
        </is>
      </c>
      <c r="B26" s="25" t="n">
        <v>120.43</v>
      </c>
      <c r="C26" s="25" t="n">
        <v>120.43</v>
      </c>
      <c r="D26" s="25" t="n">
        <v>120.43</v>
      </c>
      <c r="E26" s="25" t="n">
        <v>72.26000000000001</v>
      </c>
      <c r="F26" s="25" t="n">
        <v>72.26000000000001</v>
      </c>
      <c r="G26" s="25" t="n">
        <v>72.26000000000001</v>
      </c>
      <c r="H26" s="25" t="n">
        <v>72.26000000000001</v>
      </c>
      <c r="I26" s="25" t="n">
        <v>72.26000000000001</v>
      </c>
    </row>
    <row r="27">
      <c r="A27" s="24" t="inlineStr">
        <is>
          <t>PF257A60D_3</t>
        </is>
      </c>
      <c r="B27" s="25" t="n">
        <v>93.75</v>
      </c>
      <c r="C27" s="25" t="n">
        <v>93.75</v>
      </c>
      <c r="D27" s="25" t="n">
        <v>93.75</v>
      </c>
      <c r="E27" s="25" t="n">
        <v>56.25</v>
      </c>
      <c r="F27" s="25" t="n">
        <v>56.25</v>
      </c>
      <c r="G27" s="25" t="n">
        <v>56.25</v>
      </c>
      <c r="H27" s="25" t="n">
        <v>56.25</v>
      </c>
      <c r="I27" s="25" t="n">
        <v>56.25</v>
      </c>
    </row>
    <row r="28">
      <c r="A28" s="24" t="inlineStr">
        <is>
          <t>PF249A61D_3</t>
        </is>
      </c>
      <c r="B28" s="25" t="n">
        <v>90.67</v>
      </c>
      <c r="C28" s="25" t="n">
        <v>90.67</v>
      </c>
      <c r="D28" s="25" t="n">
        <v>90.67</v>
      </c>
      <c r="E28" s="25" t="n">
        <v>54.4</v>
      </c>
      <c r="F28" s="25" t="n">
        <v>54.4</v>
      </c>
      <c r="G28" s="25" t="n">
        <v>54.4</v>
      </c>
      <c r="H28" s="25" t="n">
        <v>54.4</v>
      </c>
      <c r="I28" s="25" t="n">
        <v>54.4</v>
      </c>
    </row>
    <row r="29">
      <c r="A29" s="24" t="inlineStr">
        <is>
          <t>PF206A65D_3</t>
        </is>
      </c>
      <c r="B29" s="25" t="n">
        <v>79.19</v>
      </c>
      <c r="C29" s="25" t="n">
        <v>79.19</v>
      </c>
      <c r="D29" s="25" t="n">
        <v>79.19</v>
      </c>
      <c r="E29" s="25" t="n">
        <v>47.51</v>
      </c>
      <c r="F29" s="25" t="n">
        <v>47.51</v>
      </c>
      <c r="G29" s="25" t="n">
        <v>47.51</v>
      </c>
      <c r="H29" s="25" t="n">
        <v>47.51</v>
      </c>
      <c r="I29" s="25" t="n">
        <v>47.51</v>
      </c>
    </row>
    <row r="30">
      <c r="A30" s="24" t="inlineStr">
        <is>
          <t>PF199A66D_3</t>
        </is>
      </c>
      <c r="B30" s="25" t="n">
        <v>71.45</v>
      </c>
      <c r="C30" s="25" t="n">
        <v>71.45</v>
      </c>
      <c r="D30" s="25" t="n">
        <v>71.45</v>
      </c>
      <c r="E30" s="25" t="n">
        <v>42.87</v>
      </c>
      <c r="F30" s="25" t="n">
        <v>42.87</v>
      </c>
      <c r="G30" s="25" t="n">
        <v>42.87</v>
      </c>
      <c r="H30" s="25" t="n">
        <v>42.87</v>
      </c>
      <c r="I30" s="25" t="n">
        <v>42.87</v>
      </c>
    </row>
    <row r="31">
      <c r="A31" s="24" t="inlineStr">
        <is>
          <t>PF343A53D_3</t>
        </is>
      </c>
      <c r="B31" s="25" t="n">
        <v>94.13</v>
      </c>
      <c r="C31" s="25" t="n">
        <v>94.13</v>
      </c>
      <c r="D31" s="25" t="n">
        <v>94.13</v>
      </c>
      <c r="E31" s="25" t="n">
        <v>56.48</v>
      </c>
      <c r="F31" s="25" t="n">
        <v>56.48</v>
      </c>
      <c r="G31" s="25" t="n">
        <v>56.48</v>
      </c>
      <c r="H31" s="25" t="n">
        <v>56.48</v>
      </c>
      <c r="I31" s="25" t="n">
        <v>56.48</v>
      </c>
    </row>
    <row r="32">
      <c r="A32" s="24" t="inlineStr">
        <is>
          <t>PF344A51D_4</t>
        </is>
      </c>
      <c r="B32" s="25" t="n">
        <v>87.17</v>
      </c>
      <c r="C32" s="25" t="n">
        <v>87.17</v>
      </c>
      <c r="D32" s="25" t="n">
        <v>87.17</v>
      </c>
      <c r="E32" s="25" t="n">
        <v>52.3</v>
      </c>
      <c r="F32" s="25" t="n">
        <v>52.3</v>
      </c>
      <c r="G32" s="25" t="n">
        <v>52.3</v>
      </c>
      <c r="H32" s="25" t="n">
        <v>52.3</v>
      </c>
      <c r="I32" s="25" t="n">
        <v>52.3</v>
      </c>
    </row>
    <row r="33">
      <c r="A33" s="24" t="inlineStr">
        <is>
          <t>PF241A62D_3</t>
        </is>
      </c>
      <c r="B33" s="25" t="n">
        <v>64.01000000000001</v>
      </c>
      <c r="C33" s="25" t="n">
        <v>64.01000000000001</v>
      </c>
      <c r="D33" s="25" t="n">
        <v>64.01000000000001</v>
      </c>
      <c r="E33" s="25" t="n">
        <v>38.4</v>
      </c>
      <c r="F33" s="25" t="n">
        <v>38.4</v>
      </c>
      <c r="G33" s="25" t="n">
        <v>38.4</v>
      </c>
      <c r="H33" s="25" t="n">
        <v>38.4</v>
      </c>
      <c r="I33" s="25" t="n">
        <v>38.4</v>
      </c>
    </row>
    <row r="34">
      <c r="A34" s="24" t="inlineStr">
        <is>
          <t>PF232A63D_3</t>
        </is>
      </c>
      <c r="B34" s="25" t="n">
        <v>56.69</v>
      </c>
      <c r="C34" s="25" t="n">
        <v>56.69</v>
      </c>
      <c r="D34" s="25" t="n">
        <v>56.69</v>
      </c>
      <c r="E34" s="25" t="n">
        <v>34.02</v>
      </c>
      <c r="F34" s="25" t="n">
        <v>34.02</v>
      </c>
      <c r="G34" s="25" t="n">
        <v>34.02</v>
      </c>
      <c r="H34" s="25" t="n">
        <v>34.02</v>
      </c>
      <c r="I34" s="25" t="n">
        <v>34.02</v>
      </c>
    </row>
    <row r="35">
      <c r="A35" s="24" t="inlineStr">
        <is>
          <t>PF223A64D_3</t>
        </is>
      </c>
      <c r="B35" s="25" t="n">
        <v>52.81</v>
      </c>
      <c r="C35" s="25" t="n">
        <v>52.81</v>
      </c>
      <c r="D35" s="25" t="n">
        <v>52.81</v>
      </c>
      <c r="E35" s="25" t="n">
        <v>31.68</v>
      </c>
      <c r="F35" s="25" t="n">
        <v>31.68</v>
      </c>
      <c r="G35" s="25" t="n">
        <v>31.68</v>
      </c>
      <c r="H35" s="25" t="n">
        <v>31.68</v>
      </c>
      <c r="I35" s="25" t="n">
        <v>31.68</v>
      </c>
    </row>
    <row r="36">
      <c r="A36" s="24" t="inlineStr">
        <is>
          <t>PF215A64D_3</t>
        </is>
      </c>
      <c r="B36" s="25" t="n">
        <v>48.46</v>
      </c>
      <c r="C36" s="25" t="n">
        <v>48.46</v>
      </c>
      <c r="D36" s="25" t="n">
        <v>48.46</v>
      </c>
      <c r="E36" s="25" t="n">
        <v>29.08</v>
      </c>
      <c r="F36" s="25" t="n">
        <v>29.08</v>
      </c>
      <c r="G36" s="25" t="n">
        <v>29.08</v>
      </c>
      <c r="H36" s="25" t="n">
        <v>29.08</v>
      </c>
      <c r="I36" s="25" t="n">
        <v>29.08</v>
      </c>
    </row>
    <row r="37">
      <c r="A37" s="24" t="inlineStr">
        <is>
          <t>PF190A67D_3</t>
        </is>
      </c>
      <c r="B37" s="25" t="n">
        <v>38.32</v>
      </c>
      <c r="C37" s="25" t="n">
        <v>38.32</v>
      </c>
      <c r="D37" s="25" t="n">
        <v>38.32</v>
      </c>
      <c r="E37" s="25" t="n">
        <v>22.99</v>
      </c>
      <c r="F37" s="25" t="n">
        <v>22.99</v>
      </c>
      <c r="G37" s="25" t="n">
        <v>22.99</v>
      </c>
      <c r="H37" s="25" t="n">
        <v>22.99</v>
      </c>
      <c r="I37" s="25" t="n">
        <v>22.99</v>
      </c>
    </row>
    <row r="38">
      <c r="A38" s="24" t="inlineStr">
        <is>
          <t>PF333A54D_3</t>
        </is>
      </c>
      <c r="B38" s="25" t="n">
        <v>43.98</v>
      </c>
      <c r="C38" s="25" t="n">
        <v>43.98</v>
      </c>
      <c r="D38" s="25" t="n">
        <v>43.98</v>
      </c>
      <c r="E38" s="25" t="n">
        <v>26.39</v>
      </c>
      <c r="F38" s="25" t="n">
        <v>26.39</v>
      </c>
      <c r="G38" s="25" t="n">
        <v>26.39</v>
      </c>
      <c r="H38" s="25" t="n">
        <v>26.39</v>
      </c>
      <c r="I38" s="25" t="n">
        <v>26.39</v>
      </c>
    </row>
    <row r="39">
      <c r="A39" s="24" t="inlineStr">
        <is>
          <t>PF300A57D_3</t>
        </is>
      </c>
      <c r="B39" s="25" t="n">
        <v>40.17</v>
      </c>
      <c r="C39" s="25" t="n">
        <v>40.17</v>
      </c>
      <c r="D39" s="25" t="n">
        <v>40.17</v>
      </c>
      <c r="E39" s="25" t="n">
        <v>24.1</v>
      </c>
      <c r="F39" s="25" t="n">
        <v>24.1</v>
      </c>
      <c r="G39" s="25" t="n">
        <v>24.1</v>
      </c>
      <c r="H39" s="25" t="n">
        <v>24.1</v>
      </c>
      <c r="I39" s="25" t="n">
        <v>24.1</v>
      </c>
    </row>
    <row r="40">
      <c r="A40" s="24" t="inlineStr">
        <is>
          <t>PF316A55D_3</t>
        </is>
      </c>
      <c r="B40" s="25" t="n">
        <v>41.33</v>
      </c>
      <c r="C40" s="25" t="n">
        <v>41.33</v>
      </c>
      <c r="D40" s="25" t="n">
        <v>41.33</v>
      </c>
      <c r="E40" s="25" t="n">
        <v>24.8</v>
      </c>
      <c r="F40" s="25" t="n">
        <v>24.8</v>
      </c>
      <c r="G40" s="25" t="n">
        <v>24.8</v>
      </c>
      <c r="H40" s="25" t="n">
        <v>24.8</v>
      </c>
      <c r="I40" s="25" t="n">
        <v>24.8</v>
      </c>
    </row>
    <row r="41">
      <c r="A41" s="24" t="inlineStr">
        <is>
          <t>PF182A68D_3</t>
        </is>
      </c>
      <c r="B41" s="25" t="n">
        <v>27.97</v>
      </c>
      <c r="C41" s="25" t="n">
        <v>27.97</v>
      </c>
      <c r="D41" s="25" t="n">
        <v>27.97</v>
      </c>
      <c r="E41" s="25" t="n">
        <v>16.78</v>
      </c>
      <c r="F41" s="25" t="n">
        <v>16.78</v>
      </c>
      <c r="G41" s="25" t="n">
        <v>16.78</v>
      </c>
      <c r="H41" s="25" t="n">
        <v>16.78</v>
      </c>
      <c r="I41" s="25" t="n">
        <v>16.78</v>
      </c>
    </row>
    <row r="42">
      <c r="A42" s="24" t="inlineStr">
        <is>
          <t>PF266A60D_3</t>
        </is>
      </c>
      <c r="B42" s="25" t="n">
        <v>34.86</v>
      </c>
      <c r="C42" s="25" t="n">
        <v>34.86</v>
      </c>
      <c r="D42" s="25" t="n">
        <v>34.86</v>
      </c>
      <c r="E42" s="25" t="n">
        <v>20.92</v>
      </c>
      <c r="F42" s="25" t="n">
        <v>20.92</v>
      </c>
      <c r="G42" s="25" t="n">
        <v>20.92</v>
      </c>
      <c r="H42" s="25" t="n">
        <v>20.92</v>
      </c>
      <c r="I42" s="25" t="n">
        <v>20.92</v>
      </c>
    </row>
    <row r="43">
      <c r="A43" s="24" t="inlineStr">
        <is>
          <t>PF274A59D_3</t>
        </is>
      </c>
      <c r="B43" s="25" t="n">
        <v>33.54</v>
      </c>
      <c r="C43" s="25" t="n">
        <v>33.54</v>
      </c>
      <c r="D43" s="25" t="n">
        <v>33.54</v>
      </c>
      <c r="E43" s="25" t="n">
        <v>20.13</v>
      </c>
      <c r="F43" s="25" t="n">
        <v>20.13</v>
      </c>
      <c r="G43" s="25" t="n">
        <v>20.13</v>
      </c>
      <c r="H43" s="25" t="n">
        <v>20.13</v>
      </c>
      <c r="I43" s="25" t="n">
        <v>20.13</v>
      </c>
    </row>
    <row r="44">
      <c r="A44" s="24" t="inlineStr">
        <is>
          <t>PF348A53D_3</t>
        </is>
      </c>
      <c r="B44" s="25" t="n">
        <v>38.98</v>
      </c>
      <c r="C44" s="25" t="n">
        <v>38.98</v>
      </c>
      <c r="D44" s="25" t="n">
        <v>38.98</v>
      </c>
      <c r="E44" s="25" t="n">
        <v>23.39</v>
      </c>
      <c r="F44" s="25" t="n">
        <v>23.39</v>
      </c>
      <c r="G44" s="25" t="n">
        <v>23.39</v>
      </c>
      <c r="H44" s="25" t="n">
        <v>23.39</v>
      </c>
      <c r="I44" s="25" t="n">
        <v>23.39</v>
      </c>
    </row>
    <row r="45">
      <c r="A45" s="24" t="inlineStr">
        <is>
          <t>PF282A58D_3</t>
        </is>
      </c>
      <c r="B45" s="25" t="n">
        <v>31.9</v>
      </c>
      <c r="C45" s="25" t="n">
        <v>31.9</v>
      </c>
      <c r="D45" s="25" t="n">
        <v>31.9</v>
      </c>
      <c r="E45" s="25" t="n">
        <v>19.14</v>
      </c>
      <c r="F45" s="25" t="n">
        <v>19.14</v>
      </c>
      <c r="G45" s="25" t="n">
        <v>19.14</v>
      </c>
      <c r="H45" s="25" t="n">
        <v>19.14</v>
      </c>
      <c r="I45" s="25" t="n">
        <v>19.14</v>
      </c>
    </row>
    <row r="46">
      <c r="A46" s="24" t="inlineStr">
        <is>
          <t>PF324A55D_3</t>
        </is>
      </c>
      <c r="B46" s="25" t="n">
        <v>34.7</v>
      </c>
      <c r="C46" s="25" t="n">
        <v>34.7</v>
      </c>
      <c r="D46" s="25" t="n">
        <v>34.7</v>
      </c>
      <c r="E46" s="25" t="n">
        <v>20.82</v>
      </c>
      <c r="F46" s="25" t="n">
        <v>20.82</v>
      </c>
      <c r="G46" s="25" t="n">
        <v>20.82</v>
      </c>
      <c r="H46" s="25" t="n">
        <v>20.82</v>
      </c>
      <c r="I46" s="25" t="n">
        <v>20.82</v>
      </c>
    </row>
    <row r="47">
      <c r="A47" s="24" t="inlineStr">
        <is>
          <t>PF360A50D_4</t>
        </is>
      </c>
      <c r="B47" s="25" t="n">
        <v>37.28</v>
      </c>
      <c r="C47" s="25" t="n">
        <v>37.28</v>
      </c>
      <c r="D47" s="25" t="n">
        <v>37.28</v>
      </c>
      <c r="E47" s="25" t="n">
        <v>22.37</v>
      </c>
      <c r="F47" s="25" t="n">
        <v>22.37</v>
      </c>
      <c r="G47" s="25" t="n">
        <v>22.37</v>
      </c>
      <c r="H47" s="25" t="n">
        <v>22.37</v>
      </c>
      <c r="I47" s="25" t="n">
        <v>22.37</v>
      </c>
    </row>
    <row r="48">
      <c r="A48" s="24" t="inlineStr">
        <is>
          <t>PF291A57D_3</t>
        </is>
      </c>
      <c r="B48" s="25" t="n">
        <v>29.93</v>
      </c>
      <c r="C48" s="25" t="n">
        <v>29.93</v>
      </c>
      <c r="D48" s="25" t="n">
        <v>29.93</v>
      </c>
      <c r="E48" s="25" t="n">
        <v>17.96</v>
      </c>
      <c r="F48" s="25" t="n">
        <v>17.96</v>
      </c>
      <c r="G48" s="25" t="n">
        <v>17.96</v>
      </c>
      <c r="H48" s="25" t="n">
        <v>17.96</v>
      </c>
      <c r="I48" s="25" t="n">
        <v>17.96</v>
      </c>
    </row>
    <row r="49">
      <c r="A49" s="24" t="inlineStr">
        <is>
          <t>PF173A69D_3</t>
        </is>
      </c>
      <c r="B49" s="25" t="n">
        <v>19.75</v>
      </c>
      <c r="C49" s="25" t="n">
        <v>19.75</v>
      </c>
      <c r="D49" s="25" t="n">
        <v>19.75</v>
      </c>
      <c r="E49" s="25" t="n">
        <v>11.85</v>
      </c>
      <c r="F49" s="25" t="n">
        <v>11.85</v>
      </c>
      <c r="G49" s="25" t="n">
        <v>11.85</v>
      </c>
      <c r="H49" s="25" t="n">
        <v>11.85</v>
      </c>
      <c r="I49" s="25" t="n">
        <v>11.85</v>
      </c>
    </row>
    <row r="50">
      <c r="A50" s="24" t="inlineStr">
        <is>
          <t>PF384A50D_6</t>
        </is>
      </c>
      <c r="B50" s="25" t="n">
        <v>29.38</v>
      </c>
      <c r="C50" s="25" t="n">
        <v>29.38</v>
      </c>
      <c r="D50" s="25" t="n">
        <v>29.38</v>
      </c>
      <c r="E50" s="25" t="n">
        <v>17.63</v>
      </c>
      <c r="F50" s="25" t="n">
        <v>17.63</v>
      </c>
      <c r="G50" s="25" t="n">
        <v>17.63</v>
      </c>
      <c r="H50" s="25" t="n">
        <v>17.63</v>
      </c>
      <c r="I50" s="25" t="n">
        <v>17.63</v>
      </c>
    </row>
    <row r="51">
      <c r="A51" s="24" t="inlineStr">
        <is>
          <t>PF149A72D_3</t>
        </is>
      </c>
      <c r="B51" s="25" t="n">
        <v>13.43</v>
      </c>
      <c r="C51" s="25" t="n">
        <v>13.43</v>
      </c>
      <c r="D51" s="25" t="n">
        <v>13.43</v>
      </c>
      <c r="E51" s="25" t="n">
        <v>8.06</v>
      </c>
      <c r="F51" s="25" t="n">
        <v>8.06</v>
      </c>
      <c r="G51" s="25" t="n">
        <v>8.06</v>
      </c>
      <c r="H51" s="25" t="n">
        <v>8.06</v>
      </c>
      <c r="I51" s="25" t="n">
        <v>8.06</v>
      </c>
    </row>
    <row r="52">
      <c r="A52" s="24" t="inlineStr">
        <is>
          <t>PF165A70D_3</t>
        </is>
      </c>
      <c r="B52" s="25" t="n">
        <v>13.48</v>
      </c>
      <c r="C52" s="25" t="n">
        <v>13.48</v>
      </c>
      <c r="D52" s="25" t="n">
        <v>13.48</v>
      </c>
      <c r="E52" s="25" t="n">
        <v>8.09</v>
      </c>
      <c r="F52" s="25" t="n">
        <v>8.09</v>
      </c>
      <c r="G52" s="25" t="n">
        <v>8.09</v>
      </c>
      <c r="H52" s="25" t="n">
        <v>8.09</v>
      </c>
      <c r="I52" s="25" t="n">
        <v>8.09</v>
      </c>
    </row>
    <row r="53">
      <c r="A53" s="24" t="inlineStr">
        <is>
          <t>PF374A50D_4</t>
        </is>
      </c>
      <c r="B53" s="25" t="n">
        <v>17.32</v>
      </c>
      <c r="C53" s="25" t="n">
        <v>17.32</v>
      </c>
      <c r="D53" s="25" t="n">
        <v>17.32</v>
      </c>
      <c r="E53" s="25" t="n">
        <v>10.39</v>
      </c>
      <c r="F53" s="25" t="n">
        <v>10.39</v>
      </c>
      <c r="G53" s="25" t="n">
        <v>10.39</v>
      </c>
      <c r="H53" s="25" t="n">
        <v>10.39</v>
      </c>
      <c r="I53" s="25" t="n">
        <v>10.39</v>
      </c>
    </row>
    <row r="54">
      <c r="A54" s="24" t="inlineStr">
        <is>
          <t>PF156A71D_3</t>
        </is>
      </c>
      <c r="B54" s="25" t="n">
        <v>8.9</v>
      </c>
      <c r="C54" s="25" t="n">
        <v>8.9</v>
      </c>
      <c r="D54" s="25" t="n">
        <v>8.9</v>
      </c>
      <c r="E54" s="25" t="n">
        <v>5.34</v>
      </c>
      <c r="F54" s="25" t="n">
        <v>5.34</v>
      </c>
      <c r="G54" s="25" t="n">
        <v>5.34</v>
      </c>
      <c r="H54" s="25" t="n">
        <v>5.34</v>
      </c>
      <c r="I54" s="25" t="n">
        <v>5.34</v>
      </c>
    </row>
    <row r="55">
      <c r="A55" s="24" t="inlineStr">
        <is>
          <t>NITROGEN</t>
        </is>
      </c>
      <c r="B55" s="25" t="n">
        <v>2.94</v>
      </c>
      <c r="C55" s="25" t="n">
        <v>2.94</v>
      </c>
      <c r="D55" s="25" t="n">
        <v>2.94</v>
      </c>
      <c r="E55" s="25" t="n">
        <v>1.76</v>
      </c>
      <c r="F55" s="25" t="n">
        <v>1.76</v>
      </c>
      <c r="G55" s="25" t="n">
        <v>1.76</v>
      </c>
      <c r="H55" s="25" t="n">
        <v>1.76</v>
      </c>
      <c r="I55" s="25" t="n">
        <v>1.76</v>
      </c>
    </row>
    <row r="56">
      <c r="A56" s="24" t="inlineStr">
        <is>
          <t>PF358A52D_3</t>
        </is>
      </c>
      <c r="B56" s="25" t="n">
        <v>11.85</v>
      </c>
      <c r="C56" s="25" t="n">
        <v>11.85</v>
      </c>
      <c r="D56" s="25" t="n">
        <v>11.85</v>
      </c>
      <c r="E56" s="25" t="n">
        <v>7.11</v>
      </c>
      <c r="F56" s="25" t="n">
        <v>7.11</v>
      </c>
      <c r="G56" s="25" t="n">
        <v>7.11</v>
      </c>
      <c r="H56" s="25" t="n">
        <v>7.11</v>
      </c>
      <c r="I56" s="25" t="n">
        <v>7.11</v>
      </c>
    </row>
    <row r="57">
      <c r="A57" s="24" t="inlineStr">
        <is>
          <t>PF335A53D_4</t>
        </is>
      </c>
      <c r="B57" s="25" t="n">
        <v>10.05</v>
      </c>
      <c r="C57" s="25" t="n">
        <v>10.05</v>
      </c>
      <c r="D57" s="25" t="n">
        <v>10.05</v>
      </c>
      <c r="E57" s="25" t="n">
        <v>6.03</v>
      </c>
      <c r="F57" s="25" t="n">
        <v>6.03</v>
      </c>
      <c r="G57" s="25" t="n">
        <v>6.03</v>
      </c>
      <c r="H57" s="25" t="n">
        <v>6.03</v>
      </c>
      <c r="I57" s="25" t="n">
        <v>6.03</v>
      </c>
    </row>
    <row r="58">
      <c r="A58" s="24" t="inlineStr">
        <is>
          <t>NH3</t>
        </is>
      </c>
      <c r="B58" s="25" t="n">
        <v>1.12</v>
      </c>
      <c r="C58" s="25" t="n">
        <v>1.12</v>
      </c>
      <c r="D58" s="25" t="n">
        <v>1.12</v>
      </c>
      <c r="E58" s="25" t="n">
        <v>0.67</v>
      </c>
      <c r="F58" s="25" t="n">
        <v>0.67</v>
      </c>
      <c r="G58" s="25" t="n">
        <v>0.67</v>
      </c>
      <c r="H58" s="25" t="n">
        <v>0.67</v>
      </c>
      <c r="I58" s="25" t="n">
        <v>0.67</v>
      </c>
    </row>
    <row r="59">
      <c r="A59" s="24" t="inlineStr">
        <is>
          <t>O2</t>
        </is>
      </c>
      <c r="B59" s="25" t="n">
        <v>1.44</v>
      </c>
      <c r="C59" s="25" t="n">
        <v>1.44</v>
      </c>
      <c r="D59" s="25" t="n">
        <v>1.44</v>
      </c>
      <c r="E59" s="25" t="n">
        <v>0.86</v>
      </c>
      <c r="F59" s="25" t="n">
        <v>0.86</v>
      </c>
      <c r="G59" s="25" t="n">
        <v>0.86</v>
      </c>
      <c r="H59" s="25" t="n">
        <v>0.86</v>
      </c>
      <c r="I59" s="25" t="n">
        <v>0.86</v>
      </c>
    </row>
    <row r="60">
      <c r="A60" s="24" t="inlineStr">
        <is>
          <t>PF388A48D_4</t>
        </is>
      </c>
      <c r="B60" s="25" t="n">
        <v>4.24</v>
      </c>
      <c r="C60" s="25" t="n">
        <v>4.24</v>
      </c>
      <c r="D60" s="25" t="n">
        <v>4.24</v>
      </c>
      <c r="E60" s="25" t="n">
        <v>2.55</v>
      </c>
      <c r="F60" s="25" t="n">
        <v>2.55</v>
      </c>
      <c r="G60" s="25" t="n">
        <v>2.55</v>
      </c>
      <c r="H60" s="25" t="n">
        <v>2.55</v>
      </c>
      <c r="I60" s="25" t="n">
        <v>2.55</v>
      </c>
    </row>
    <row r="61">
      <c r="A61" s="24" t="inlineStr">
        <is>
          <t>PF365A51D_3</t>
        </is>
      </c>
      <c r="B61" s="25" t="n">
        <v>2.44</v>
      </c>
      <c r="C61" s="25" t="n">
        <v>2.44</v>
      </c>
      <c r="D61" s="25" t="n">
        <v>2.44</v>
      </c>
      <c r="E61" s="25" t="n">
        <v>1.46</v>
      </c>
      <c r="F61" s="25" t="n">
        <v>1.46</v>
      </c>
      <c r="G61" s="25" t="n">
        <v>1.46</v>
      </c>
      <c r="H61" s="25" t="n">
        <v>1.46</v>
      </c>
      <c r="I61" s="25" t="n">
        <v>1.46</v>
      </c>
    </row>
    <row r="62">
      <c r="A62" s="24" t="inlineStr">
        <is>
          <t>CO2</t>
        </is>
      </c>
      <c r="B62" s="25" t="n">
        <v>0.6</v>
      </c>
      <c r="C62" s="25" t="n">
        <v>0.6</v>
      </c>
      <c r="D62" s="25" t="n">
        <v>0.6</v>
      </c>
      <c r="E62" s="25" t="n">
        <v>0.36</v>
      </c>
      <c r="F62" s="25" t="n">
        <v>0.36</v>
      </c>
      <c r="G62" s="25" t="n">
        <v>0.36</v>
      </c>
      <c r="H62" s="25" t="n">
        <v>0.36</v>
      </c>
      <c r="I62" s="25" t="n">
        <v>0.36</v>
      </c>
    </row>
    <row r="63">
      <c r="A63" s="24" t="inlineStr">
        <is>
          <t>PF409A49D_6</t>
        </is>
      </c>
      <c r="B63" s="25" t="n">
        <v>1.2</v>
      </c>
      <c r="C63" s="25" t="n">
        <v>1.2</v>
      </c>
      <c r="D63" s="25" t="n">
        <v>1.2</v>
      </c>
      <c r="E63" s="25" t="n">
        <v>0.72</v>
      </c>
      <c r="F63" s="25" t="n">
        <v>0.72</v>
      </c>
      <c r="G63" s="25" t="n">
        <v>0.72</v>
      </c>
      <c r="H63" s="25" t="n">
        <v>0.72</v>
      </c>
      <c r="I63" s="25" t="n">
        <v>0.72</v>
      </c>
    </row>
    <row r="64">
      <c r="A64" s="24" t="inlineStr">
        <is>
          <t>PF403A47D_4</t>
        </is>
      </c>
      <c r="B64" s="25" t="n">
        <v>0.99</v>
      </c>
      <c r="C64" s="25" t="n">
        <v>0.99</v>
      </c>
      <c r="D64" s="25" t="n">
        <v>0.99</v>
      </c>
      <c r="E64" s="25" t="n">
        <v>0.59</v>
      </c>
      <c r="F64" s="25" t="n">
        <v>0.59</v>
      </c>
      <c r="G64" s="25" t="n">
        <v>0.59</v>
      </c>
      <c r="H64" s="25" t="n">
        <v>0.59</v>
      </c>
      <c r="I64" s="25" t="n">
        <v>0.59</v>
      </c>
    </row>
    <row r="65">
      <c r="A65" s="24" t="inlineStr">
        <is>
          <t>CO</t>
        </is>
      </c>
      <c r="B65" s="25" t="n">
        <v>0.15</v>
      </c>
      <c r="C65" s="25" t="n">
        <v>0.15</v>
      </c>
      <c r="D65" s="25" t="n">
        <v>0.15</v>
      </c>
      <c r="E65" s="25" t="n">
        <v>0.09</v>
      </c>
      <c r="F65" s="25" t="n">
        <v>0.09</v>
      </c>
      <c r="G65" s="25" t="n">
        <v>0.09</v>
      </c>
      <c r="H65" s="25" t="n">
        <v>0.09</v>
      </c>
      <c r="I65" s="25" t="n">
        <v>0.09</v>
      </c>
    </row>
    <row r="66">
      <c r="A66" s="24" t="inlineStr">
        <is>
          <t>PF142A73D_3</t>
        </is>
      </c>
      <c r="B66" s="25" t="n">
        <v>0.3</v>
      </c>
      <c r="C66" s="25" t="n">
        <v>0.3</v>
      </c>
      <c r="D66" s="25" t="n">
        <v>0.3</v>
      </c>
      <c r="E66" s="25" t="n">
        <v>0.18</v>
      </c>
      <c r="F66" s="25" t="n">
        <v>0.18</v>
      </c>
      <c r="G66" s="25" t="n">
        <v>0.18</v>
      </c>
      <c r="H66" s="25" t="n">
        <v>0.18</v>
      </c>
      <c r="I66" s="25" t="n">
        <v>0.18</v>
      </c>
    </row>
    <row r="67">
      <c r="A67" s="24" t="inlineStr">
        <is>
          <t>PF416A46D_4</t>
        </is>
      </c>
      <c r="B67" s="25" t="n">
        <v>0.22</v>
      </c>
      <c r="C67" s="25" t="n">
        <v>0.22</v>
      </c>
      <c r="D67" s="25" t="n">
        <v>0.22</v>
      </c>
      <c r="E67" s="25" t="n">
        <v>0.13</v>
      </c>
      <c r="F67" s="25" t="n">
        <v>0.13</v>
      </c>
      <c r="G67" s="25" t="n">
        <v>0.13</v>
      </c>
      <c r="H67" s="25" t="n">
        <v>0.13</v>
      </c>
      <c r="I67" s="25" t="n">
        <v>0.13</v>
      </c>
    </row>
    <row r="68">
      <c r="A68" s="24" t="inlineStr">
        <is>
          <t>PF434A47D_6</t>
        </is>
      </c>
      <c r="B68" s="25" t="n">
        <v>0.05</v>
      </c>
      <c r="C68" s="25" t="n">
        <v>0.05</v>
      </c>
      <c r="D68" s="25" t="n">
        <v>0.05</v>
      </c>
      <c r="E68" s="25" t="n">
        <v>0.03</v>
      </c>
      <c r="F68" s="25" t="n">
        <v>0.03</v>
      </c>
      <c r="G68" s="25" t="n">
        <v>0.03</v>
      </c>
      <c r="H68" s="25" t="n">
        <v>0.03</v>
      </c>
      <c r="I68" s="25" t="n">
        <v>0.03</v>
      </c>
    </row>
    <row r="69">
      <c r="A69" s="24" t="inlineStr">
        <is>
          <t>PF431A45D_4</t>
        </is>
      </c>
      <c r="B69" s="25" t="n">
        <v>0.03</v>
      </c>
      <c r="C69" s="25" t="n">
        <v>0.03</v>
      </c>
      <c r="D69" s="25" t="n">
        <v>0.03</v>
      </c>
      <c r="E69" s="25" t="n">
        <v>0.02</v>
      </c>
      <c r="F69" s="25" t="n">
        <v>0.02</v>
      </c>
      <c r="G69" s="25" t="n">
        <v>0.02</v>
      </c>
      <c r="H69" s="25" t="n">
        <v>0.02</v>
      </c>
      <c r="I69" s="25" t="n">
        <v>0.02</v>
      </c>
    </row>
    <row r="70">
      <c r="A70" s="24" t="inlineStr">
        <is>
          <t>HCL</t>
        </is>
      </c>
      <c r="B70" s="25" t="n">
        <v>0</v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H70" s="25" t="n">
        <v>0</v>
      </c>
      <c r="I70" s="25" t="n">
        <v>0</v>
      </c>
    </row>
    <row r="71">
      <c r="A71" s="24" t="inlineStr">
        <is>
          <t>PF445A44D_4</t>
        </is>
      </c>
      <c r="B71" s="25" t="n">
        <v>0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</row>
    <row r="72">
      <c r="A72" s="24" t="inlineStr">
        <is>
          <t>PF459A45D_6</t>
        </is>
      </c>
      <c r="B72" s="25" t="n">
        <v>0</v>
      </c>
      <c r="C72" s="25" t="n">
        <v>0</v>
      </c>
      <c r="D72" s="25" t="n">
        <v>0</v>
      </c>
      <c r="E72" s="25" t="n">
        <v>0</v>
      </c>
      <c r="F72" s="25" t="n">
        <v>0</v>
      </c>
      <c r="G72" s="25" t="n">
        <v>0</v>
      </c>
      <c r="H72" s="25" t="n">
        <v>0</v>
      </c>
      <c r="I72" s="25" t="n">
        <v>0</v>
      </c>
    </row>
    <row r="73">
      <c r="A73" s="24" t="inlineStr">
        <is>
          <t>PF459A43D_4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</row>
    <row r="74">
      <c r="A74" s="24" t="inlineStr">
        <is>
          <t>PF474A42D_4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</row>
    <row r="75">
      <c r="A75" s="24" t="inlineStr">
        <is>
          <t>PF485A44D_6</t>
        </is>
      </c>
      <c r="B75" s="25" t="n">
        <v>0</v>
      </c>
      <c r="C75" s="25" t="n">
        <v>0</v>
      </c>
      <c r="D75" s="25" t="n">
        <v>0</v>
      </c>
      <c r="E75" s="25" t="n">
        <v>0</v>
      </c>
      <c r="F75" s="25" t="n">
        <v>0</v>
      </c>
      <c r="G75" s="25" t="n">
        <v>0</v>
      </c>
      <c r="H75" s="25" t="n">
        <v>0</v>
      </c>
      <c r="I75" s="25" t="n">
        <v>0</v>
      </c>
    </row>
    <row r="76">
      <c r="A76" s="24" t="inlineStr">
        <is>
          <t>PF487A41D_4</t>
        </is>
      </c>
      <c r="B76" s="25" t="n">
        <v>0</v>
      </c>
      <c r="C76" s="25" t="n">
        <v>0</v>
      </c>
      <c r="D76" s="25" t="n">
        <v>0</v>
      </c>
      <c r="E76" s="25" t="n">
        <v>0</v>
      </c>
      <c r="F76" s="25" t="n">
        <v>0</v>
      </c>
      <c r="G76" s="25" t="n">
        <v>0</v>
      </c>
      <c r="H76" s="25" t="n">
        <v>0</v>
      </c>
      <c r="I76" s="25" t="n">
        <v>0</v>
      </c>
    </row>
    <row r="77">
      <c r="A77" s="24" t="inlineStr">
        <is>
          <t>CYCLOPENTANE</t>
        </is>
      </c>
      <c r="B77" s="25" t="n">
        <v>0</v>
      </c>
      <c r="C77" s="25" t="n">
        <v>0</v>
      </c>
      <c r="D77" s="25" t="n">
        <v>0</v>
      </c>
      <c r="E77" s="25" t="n">
        <v>0</v>
      </c>
      <c r="F77" s="25" t="n">
        <v>0</v>
      </c>
      <c r="G77" s="25" t="n">
        <v>0</v>
      </c>
      <c r="H77" s="25" t="n">
        <v>0</v>
      </c>
      <c r="I77" s="25" t="n">
        <v>0</v>
      </c>
    </row>
    <row r="78">
      <c r="A78" s="24" t="inlineStr">
        <is>
          <t>PF510A42D_6</t>
        </is>
      </c>
      <c r="B78" s="25" t="n">
        <v>0</v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</row>
    <row r="79">
      <c r="A79" s="24" t="inlineStr">
        <is>
          <t>PF502A40D_4</t>
        </is>
      </c>
      <c r="B79" s="25" t="n">
        <v>0</v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</row>
    <row r="80">
      <c r="A80" s="26" t="inlineStr">
        <is>
          <t>TOTAL (kg/hr)</t>
        </is>
      </c>
      <c r="B80" s="27" t="n">
        <v>23790.36</v>
      </c>
      <c r="C80" s="27" t="n">
        <v>23790.36</v>
      </c>
      <c r="D80" s="27" t="n">
        <v>23790.36</v>
      </c>
      <c r="E80" s="27" t="n">
        <v>14274.22</v>
      </c>
      <c r="F80" s="27" t="n">
        <v>14274.22</v>
      </c>
      <c r="G80" s="27" t="n">
        <v>14274.22</v>
      </c>
      <c r="H80" s="27" t="n">
        <v>14274.22</v>
      </c>
      <c r="I80" s="27" t="n">
        <v>14274.22</v>
      </c>
    </row>
    <row r="82">
      <c r="A82" s="11" t="inlineStr">
        <is>
          <t>MOLAR FLOW  (kgmol/hr)</t>
        </is>
      </c>
    </row>
    <row r="83" ht="26" customHeight="1">
      <c r="A83" s="21" t="inlineStr">
        <is>
          <t>Component</t>
        </is>
      </c>
      <c r="B83" s="22" t="inlineStr">
        <is>
          <t>1 · ENT-01</t>
        </is>
      </c>
      <c r="C83" s="22" t="inlineStr">
        <is>
          <t>2 · P-001</t>
        </is>
      </c>
      <c r="D83" s="22" t="inlineStr">
        <is>
          <t>3 · EL-001</t>
        </is>
      </c>
      <c r="E83" s="22" t="inlineStr">
        <is>
          <t>4 · TEE-01</t>
        </is>
      </c>
      <c r="F83" s="22" t="inlineStr">
        <is>
          <t>5 · PSV-01</t>
        </is>
      </c>
      <c r="G83" s="23" t="inlineStr">
        <is>
          <t>1 · P-002</t>
        </is>
      </c>
      <c r="H83" s="23" t="inlineStr">
        <is>
          <t>2 · EL-002</t>
        </is>
      </c>
      <c r="I83" s="23" t="inlineStr">
        <is>
          <t>3 · VLV-01</t>
        </is>
      </c>
    </row>
    <row r="84">
      <c r="A84" s="24" t="inlineStr">
        <is>
          <t>PROPANE</t>
        </is>
      </c>
      <c r="B84" s="25" t="n">
        <v>30.0145</v>
      </c>
      <c r="C84" s="25" t="n">
        <v>30.0145</v>
      </c>
      <c r="D84" s="25" t="n">
        <v>30.0145</v>
      </c>
      <c r="E84" s="25" t="n">
        <v>18.0087</v>
      </c>
      <c r="F84" s="25" t="n">
        <v>18.0087</v>
      </c>
      <c r="G84" s="25" t="n">
        <v>18.0087</v>
      </c>
      <c r="H84" s="25" t="n">
        <v>18.0087</v>
      </c>
      <c r="I84" s="25" t="n">
        <v>18.0087</v>
      </c>
    </row>
    <row r="85">
      <c r="A85" s="24" t="inlineStr">
        <is>
          <t>NC4</t>
        </is>
      </c>
      <c r="B85" s="25" t="n">
        <v>27.6919</v>
      </c>
      <c r="C85" s="25" t="n">
        <v>27.6919</v>
      </c>
      <c r="D85" s="25" t="n">
        <v>27.6919</v>
      </c>
      <c r="E85" s="25" t="n">
        <v>16.6151</v>
      </c>
      <c r="F85" s="25" t="n">
        <v>16.6151</v>
      </c>
      <c r="G85" s="25" t="n">
        <v>16.6151</v>
      </c>
      <c r="H85" s="25" t="n">
        <v>16.6151</v>
      </c>
      <c r="I85" s="25" t="n">
        <v>16.6151</v>
      </c>
    </row>
    <row r="86">
      <c r="A86" s="24" t="inlineStr">
        <is>
          <t>PF208A66D_6</t>
        </is>
      </c>
      <c r="B86" s="25" t="n">
        <v>25.8657</v>
      </c>
      <c r="C86" s="25" t="n">
        <v>25.8657</v>
      </c>
      <c r="D86" s="25" t="n">
        <v>25.8657</v>
      </c>
      <c r="E86" s="25" t="n">
        <v>15.5194</v>
      </c>
      <c r="F86" s="25" t="n">
        <v>15.5194</v>
      </c>
      <c r="G86" s="25" t="n">
        <v>15.5194</v>
      </c>
      <c r="H86" s="25" t="n">
        <v>15.5194</v>
      </c>
      <c r="I86" s="25" t="n">
        <v>15.5194</v>
      </c>
    </row>
    <row r="87">
      <c r="A87" s="24" t="inlineStr">
        <is>
          <t>PF231A63D_6</t>
        </is>
      </c>
      <c r="B87" s="25" t="n">
        <v>22.3925</v>
      </c>
      <c r="C87" s="25" t="n">
        <v>22.3925</v>
      </c>
      <c r="D87" s="25" t="n">
        <v>22.3925</v>
      </c>
      <c r="E87" s="25" t="n">
        <v>13.4355</v>
      </c>
      <c r="F87" s="25" t="n">
        <v>13.4355</v>
      </c>
      <c r="G87" s="25" t="n">
        <v>13.4355</v>
      </c>
      <c r="H87" s="25" t="n">
        <v>13.4355</v>
      </c>
      <c r="I87" s="25" t="n">
        <v>13.4355</v>
      </c>
    </row>
    <row r="88">
      <c r="A88" s="24" t="inlineStr">
        <is>
          <t>PF258A61D_6</t>
        </is>
      </c>
      <c r="B88" s="25" t="n">
        <v>19.2095</v>
      </c>
      <c r="C88" s="25" t="n">
        <v>19.2095</v>
      </c>
      <c r="D88" s="25" t="n">
        <v>19.2095</v>
      </c>
      <c r="E88" s="25" t="n">
        <v>11.5257</v>
      </c>
      <c r="F88" s="25" t="n">
        <v>11.5257</v>
      </c>
      <c r="G88" s="25" t="n">
        <v>11.5257</v>
      </c>
      <c r="H88" s="25" t="n">
        <v>11.5257</v>
      </c>
      <c r="I88" s="25" t="n">
        <v>11.5257</v>
      </c>
    </row>
    <row r="89">
      <c r="A89" s="24" t="inlineStr">
        <is>
          <t>PF183A70D_6</t>
        </is>
      </c>
      <c r="B89" s="25" t="n">
        <v>18.2069</v>
      </c>
      <c r="C89" s="25" t="n">
        <v>18.2069</v>
      </c>
      <c r="D89" s="25" t="n">
        <v>18.2069</v>
      </c>
      <c r="E89" s="25" t="n">
        <v>10.9241</v>
      </c>
      <c r="F89" s="25" t="n">
        <v>10.9241</v>
      </c>
      <c r="G89" s="25" t="n">
        <v>10.9241</v>
      </c>
      <c r="H89" s="25" t="n">
        <v>10.9241</v>
      </c>
      <c r="I89" s="25" t="n">
        <v>10.9241</v>
      </c>
    </row>
    <row r="90">
      <c r="A90" s="24" t="inlineStr">
        <is>
          <t>ETHANE</t>
        </is>
      </c>
      <c r="B90" s="25" t="n">
        <v>17.5287</v>
      </c>
      <c r="C90" s="25" t="n">
        <v>17.5287</v>
      </c>
      <c r="D90" s="25" t="n">
        <v>17.5287</v>
      </c>
      <c r="E90" s="25" t="n">
        <v>10.5172</v>
      </c>
      <c r="F90" s="25" t="n">
        <v>10.5172</v>
      </c>
      <c r="G90" s="25" t="n">
        <v>10.5172</v>
      </c>
      <c r="H90" s="25" t="n">
        <v>10.5172</v>
      </c>
      <c r="I90" s="25" t="n">
        <v>10.5172</v>
      </c>
    </row>
    <row r="91">
      <c r="A91" s="24" t="inlineStr">
        <is>
          <t>NC5</t>
        </is>
      </c>
      <c r="B91" s="25" t="n">
        <v>17.4742</v>
      </c>
      <c r="C91" s="25" t="n">
        <v>17.4742</v>
      </c>
      <c r="D91" s="25" t="n">
        <v>17.4742</v>
      </c>
      <c r="E91" s="25" t="n">
        <v>10.4845</v>
      </c>
      <c r="F91" s="25" t="n">
        <v>10.4845</v>
      </c>
      <c r="G91" s="25" t="n">
        <v>10.4845</v>
      </c>
      <c r="H91" s="25" t="n">
        <v>10.4845</v>
      </c>
      <c r="I91" s="25" t="n">
        <v>10.4845</v>
      </c>
    </row>
    <row r="92">
      <c r="A92" s="24" t="inlineStr">
        <is>
          <t>PF282A58D_6</t>
        </is>
      </c>
      <c r="B92" s="25" t="n">
        <v>17.2178</v>
      </c>
      <c r="C92" s="25" t="n">
        <v>17.2178</v>
      </c>
      <c r="D92" s="25" t="n">
        <v>17.2178</v>
      </c>
      <c r="E92" s="25" t="n">
        <v>10.3307</v>
      </c>
      <c r="F92" s="25" t="n">
        <v>10.3307</v>
      </c>
      <c r="G92" s="25" t="n">
        <v>10.3307</v>
      </c>
      <c r="H92" s="25" t="n">
        <v>10.3307</v>
      </c>
      <c r="I92" s="25" t="n">
        <v>10.3307</v>
      </c>
    </row>
    <row r="93">
      <c r="A93" s="24" t="inlineStr">
        <is>
          <t>IC4</t>
        </is>
      </c>
      <c r="B93" s="25" t="n">
        <v>16.3199</v>
      </c>
      <c r="C93" s="25" t="n">
        <v>16.3199</v>
      </c>
      <c r="D93" s="25" t="n">
        <v>16.3199</v>
      </c>
      <c r="E93" s="25" t="n">
        <v>9.7919</v>
      </c>
      <c r="F93" s="25" t="n">
        <v>9.7919</v>
      </c>
      <c r="G93" s="25" t="n">
        <v>9.7919</v>
      </c>
      <c r="H93" s="25" t="n">
        <v>9.7919</v>
      </c>
      <c r="I93" s="25" t="n">
        <v>9.7919</v>
      </c>
    </row>
    <row r="94">
      <c r="A94" s="24" t="inlineStr">
        <is>
          <t>IC5</t>
        </is>
      </c>
      <c r="B94" s="25" t="n">
        <v>13.6084</v>
      </c>
      <c r="C94" s="25" t="n">
        <v>13.6084</v>
      </c>
      <c r="D94" s="25" t="n">
        <v>13.6084</v>
      </c>
      <c r="E94" s="25" t="n">
        <v>8.164999999999999</v>
      </c>
      <c r="F94" s="25" t="n">
        <v>8.164999999999999</v>
      </c>
      <c r="G94" s="25" t="n">
        <v>8.164999999999999</v>
      </c>
      <c r="H94" s="25" t="n">
        <v>8.164999999999999</v>
      </c>
      <c r="I94" s="25" t="n">
        <v>8.164999999999999</v>
      </c>
    </row>
    <row r="95">
      <c r="A95" s="24" t="inlineStr">
        <is>
          <t>PF129A74D_6</t>
        </is>
      </c>
      <c r="B95" s="25" t="n">
        <v>12.4187</v>
      </c>
      <c r="C95" s="25" t="n">
        <v>12.4187</v>
      </c>
      <c r="D95" s="25" t="n">
        <v>12.4187</v>
      </c>
      <c r="E95" s="25" t="n">
        <v>7.4512</v>
      </c>
      <c r="F95" s="25" t="n">
        <v>7.4512</v>
      </c>
      <c r="G95" s="25" t="n">
        <v>7.4512</v>
      </c>
      <c r="H95" s="25" t="n">
        <v>7.4512</v>
      </c>
      <c r="I95" s="25" t="n">
        <v>7.4512</v>
      </c>
    </row>
    <row r="96">
      <c r="A96" s="24" t="inlineStr">
        <is>
          <t>H2S</t>
        </is>
      </c>
      <c r="B96" s="25" t="n">
        <v>12.2727</v>
      </c>
      <c r="C96" s="25" t="n">
        <v>12.2727</v>
      </c>
      <c r="D96" s="25" t="n">
        <v>12.2727</v>
      </c>
      <c r="E96" s="25" t="n">
        <v>7.3636</v>
      </c>
      <c r="F96" s="25" t="n">
        <v>7.3636</v>
      </c>
      <c r="G96" s="25" t="n">
        <v>7.3636</v>
      </c>
      <c r="H96" s="25" t="n">
        <v>7.3636</v>
      </c>
      <c r="I96" s="25" t="n">
        <v>7.3636</v>
      </c>
    </row>
    <row r="97">
      <c r="A97" s="24" t="inlineStr">
        <is>
          <t>PF158A72D_6</t>
        </is>
      </c>
      <c r="B97" s="25" t="n">
        <v>11.8844</v>
      </c>
      <c r="C97" s="25" t="n">
        <v>11.8844</v>
      </c>
      <c r="D97" s="25" t="n">
        <v>11.8844</v>
      </c>
      <c r="E97" s="25" t="n">
        <v>7.1306</v>
      </c>
      <c r="F97" s="25" t="n">
        <v>7.1306</v>
      </c>
      <c r="G97" s="25" t="n">
        <v>7.1306</v>
      </c>
      <c r="H97" s="25" t="n">
        <v>7.1306</v>
      </c>
      <c r="I97" s="25" t="n">
        <v>7.1306</v>
      </c>
    </row>
    <row r="98">
      <c r="A98" s="24" t="inlineStr">
        <is>
          <t>H2</t>
        </is>
      </c>
      <c r="B98" s="25" t="n">
        <v>11.0938</v>
      </c>
      <c r="C98" s="25" t="n">
        <v>11.0938</v>
      </c>
      <c r="D98" s="25" t="n">
        <v>11.0938</v>
      </c>
      <c r="E98" s="25" t="n">
        <v>6.6563</v>
      </c>
      <c r="F98" s="25" t="n">
        <v>6.6563</v>
      </c>
      <c r="G98" s="25" t="n">
        <v>6.6563</v>
      </c>
      <c r="H98" s="25" t="n">
        <v>6.6563</v>
      </c>
      <c r="I98" s="25" t="n">
        <v>6.6563</v>
      </c>
    </row>
    <row r="99">
      <c r="A99" s="24" t="inlineStr">
        <is>
          <t>PF308A56D_6</t>
        </is>
      </c>
      <c r="B99" s="25" t="n">
        <v>9.052</v>
      </c>
      <c r="C99" s="25" t="n">
        <v>9.052</v>
      </c>
      <c r="D99" s="25" t="n">
        <v>9.052</v>
      </c>
      <c r="E99" s="25" t="n">
        <v>5.4312</v>
      </c>
      <c r="F99" s="25" t="n">
        <v>5.4312</v>
      </c>
      <c r="G99" s="25" t="n">
        <v>5.4312</v>
      </c>
      <c r="H99" s="25" t="n">
        <v>5.4312</v>
      </c>
      <c r="I99" s="25" t="n">
        <v>5.4312</v>
      </c>
    </row>
    <row r="100">
      <c r="A100" s="24" t="inlineStr">
        <is>
          <t>METHANE</t>
        </is>
      </c>
      <c r="B100" s="25" t="n">
        <v>8.3621</v>
      </c>
      <c r="C100" s="25" t="n">
        <v>8.3621</v>
      </c>
      <c r="D100" s="25" t="n">
        <v>8.3621</v>
      </c>
      <c r="E100" s="25" t="n">
        <v>5.0173</v>
      </c>
      <c r="F100" s="25" t="n">
        <v>5.0173</v>
      </c>
      <c r="G100" s="25" t="n">
        <v>5.0173</v>
      </c>
      <c r="H100" s="25" t="n">
        <v>5.0173</v>
      </c>
      <c r="I100" s="25" t="n">
        <v>5.0173</v>
      </c>
    </row>
    <row r="101">
      <c r="A101" s="24" t="inlineStr">
        <is>
          <t>PF333A55D_6</t>
        </is>
      </c>
      <c r="B101" s="25" t="n">
        <v>6.0745</v>
      </c>
      <c r="C101" s="25" t="n">
        <v>6.0745</v>
      </c>
      <c r="D101" s="25" t="n">
        <v>6.0745</v>
      </c>
      <c r="E101" s="25" t="n">
        <v>3.6447</v>
      </c>
      <c r="F101" s="25" t="n">
        <v>3.6447</v>
      </c>
      <c r="G101" s="25" t="n">
        <v>3.6447</v>
      </c>
      <c r="H101" s="25" t="n">
        <v>3.6447</v>
      </c>
      <c r="I101" s="25" t="n">
        <v>3.6447</v>
      </c>
    </row>
    <row r="102">
      <c r="A102" s="24" t="inlineStr">
        <is>
          <t>PF359A53D_6</t>
        </is>
      </c>
      <c r="B102" s="25" t="n">
        <v>2.3119</v>
      </c>
      <c r="C102" s="25" t="n">
        <v>2.3119</v>
      </c>
      <c r="D102" s="25" t="n">
        <v>2.3119</v>
      </c>
      <c r="E102" s="25" t="n">
        <v>1.3871</v>
      </c>
      <c r="F102" s="25" t="n">
        <v>1.3871</v>
      </c>
      <c r="G102" s="25" t="n">
        <v>1.3871</v>
      </c>
      <c r="H102" s="25" t="n">
        <v>1.3871</v>
      </c>
      <c r="I102" s="25" t="n">
        <v>1.3871</v>
      </c>
    </row>
    <row r="103">
      <c r="A103" s="24" t="inlineStr">
        <is>
          <t>PF115A77D_6</t>
        </is>
      </c>
      <c r="B103" s="25" t="n">
        <v>1.7715</v>
      </c>
      <c r="C103" s="25" t="n">
        <v>1.7715</v>
      </c>
      <c r="D103" s="25" t="n">
        <v>1.7715</v>
      </c>
      <c r="E103" s="25" t="n">
        <v>1.0629</v>
      </c>
      <c r="F103" s="25" t="n">
        <v>1.0629</v>
      </c>
      <c r="G103" s="25" t="n">
        <v>1.0629</v>
      </c>
      <c r="H103" s="25" t="n">
        <v>1.0629</v>
      </c>
      <c r="I103" s="25" t="n">
        <v>1.0629</v>
      </c>
    </row>
    <row r="104">
      <c r="A104" s="24" t="inlineStr">
        <is>
          <t>H2O</t>
        </is>
      </c>
      <c r="B104" s="25" t="n">
        <v>1.2865</v>
      </c>
      <c r="C104" s="25" t="n">
        <v>1.2865</v>
      </c>
      <c r="D104" s="25" t="n">
        <v>1.2865</v>
      </c>
      <c r="E104" s="25" t="n">
        <v>0.7719</v>
      </c>
      <c r="F104" s="25" t="n">
        <v>0.7719</v>
      </c>
      <c r="G104" s="25" t="n">
        <v>0.7719</v>
      </c>
      <c r="H104" s="25" t="n">
        <v>0.7719</v>
      </c>
      <c r="I104" s="25" t="n">
        <v>0.7719</v>
      </c>
    </row>
    <row r="105">
      <c r="A105" s="24" t="inlineStr">
        <is>
          <t>PF307A56D_3</t>
        </is>
      </c>
      <c r="B105" s="25" t="n">
        <v>0.9485</v>
      </c>
      <c r="C105" s="25" t="n">
        <v>0.9485</v>
      </c>
      <c r="D105" s="25" t="n">
        <v>0.9485</v>
      </c>
      <c r="E105" s="25" t="n">
        <v>0.5691000000000001</v>
      </c>
      <c r="F105" s="25" t="n">
        <v>0.5691000000000001</v>
      </c>
      <c r="G105" s="25" t="n">
        <v>0.5691000000000001</v>
      </c>
      <c r="H105" s="25" t="n">
        <v>0.5691000000000001</v>
      </c>
      <c r="I105" s="25" t="n">
        <v>0.5691000000000001</v>
      </c>
    </row>
    <row r="106">
      <c r="A106" s="24" t="inlineStr">
        <is>
          <t>PF257A60D_3</t>
        </is>
      </c>
      <c r="B106" s="25" t="n">
        <v>0.8418</v>
      </c>
      <c r="C106" s="25" t="n">
        <v>0.8418</v>
      </c>
      <c r="D106" s="25" t="n">
        <v>0.8418</v>
      </c>
      <c r="E106" s="25" t="n">
        <v>0.5051</v>
      </c>
      <c r="F106" s="25" t="n">
        <v>0.5051</v>
      </c>
      <c r="G106" s="25" t="n">
        <v>0.5051</v>
      </c>
      <c r="H106" s="25" t="n">
        <v>0.5051</v>
      </c>
      <c r="I106" s="25" t="n">
        <v>0.5051</v>
      </c>
    </row>
    <row r="107">
      <c r="A107" s="24" t="inlineStr">
        <is>
          <t>PF249A61D_3</t>
        </is>
      </c>
      <c r="B107" s="25" t="n">
        <v>0.8327</v>
      </c>
      <c r="C107" s="25" t="n">
        <v>0.8327</v>
      </c>
      <c r="D107" s="25" t="n">
        <v>0.8327</v>
      </c>
      <c r="E107" s="25" t="n">
        <v>0.4996</v>
      </c>
      <c r="F107" s="25" t="n">
        <v>0.4996</v>
      </c>
      <c r="G107" s="25" t="n">
        <v>0.4996</v>
      </c>
      <c r="H107" s="25" t="n">
        <v>0.4996</v>
      </c>
      <c r="I107" s="25" t="n">
        <v>0.4996</v>
      </c>
    </row>
    <row r="108">
      <c r="A108" s="24" t="inlineStr">
        <is>
          <t>PF206A65D_3</t>
        </is>
      </c>
      <c r="B108" s="25" t="n">
        <v>0.8182</v>
      </c>
      <c r="C108" s="25" t="n">
        <v>0.8182</v>
      </c>
      <c r="D108" s="25" t="n">
        <v>0.8182</v>
      </c>
      <c r="E108" s="25" t="n">
        <v>0.4909</v>
      </c>
      <c r="F108" s="25" t="n">
        <v>0.4909</v>
      </c>
      <c r="G108" s="25" t="n">
        <v>0.4909</v>
      </c>
      <c r="H108" s="25" t="n">
        <v>0.4909</v>
      </c>
      <c r="I108" s="25" t="n">
        <v>0.4909</v>
      </c>
    </row>
    <row r="109">
      <c r="A109" s="24" t="inlineStr">
        <is>
          <t>PF199A66D_3</t>
        </is>
      </c>
      <c r="B109" s="25" t="n">
        <v>0.7537</v>
      </c>
      <c r="C109" s="25" t="n">
        <v>0.7537</v>
      </c>
      <c r="D109" s="25" t="n">
        <v>0.7537</v>
      </c>
      <c r="E109" s="25" t="n">
        <v>0.4522</v>
      </c>
      <c r="F109" s="25" t="n">
        <v>0.4522</v>
      </c>
      <c r="G109" s="25" t="n">
        <v>0.4522</v>
      </c>
      <c r="H109" s="25" t="n">
        <v>0.4522</v>
      </c>
      <c r="I109" s="25" t="n">
        <v>0.4522</v>
      </c>
    </row>
    <row r="110">
      <c r="A110" s="24" t="inlineStr">
        <is>
          <t>PF343A53D_3</t>
        </is>
      </c>
      <c r="B110" s="25" t="n">
        <v>0.676</v>
      </c>
      <c r="C110" s="25" t="n">
        <v>0.676</v>
      </c>
      <c r="D110" s="25" t="n">
        <v>0.676</v>
      </c>
      <c r="E110" s="25" t="n">
        <v>0.4056</v>
      </c>
      <c r="F110" s="25" t="n">
        <v>0.4056</v>
      </c>
      <c r="G110" s="25" t="n">
        <v>0.4056</v>
      </c>
      <c r="H110" s="25" t="n">
        <v>0.4056</v>
      </c>
      <c r="I110" s="25" t="n">
        <v>0.4056</v>
      </c>
    </row>
    <row r="111">
      <c r="A111" s="24" t="inlineStr">
        <is>
          <t>PF344A51D_4</t>
        </is>
      </c>
      <c r="B111" s="25" t="n">
        <v>0.6282</v>
      </c>
      <c r="C111" s="25" t="n">
        <v>0.6282</v>
      </c>
      <c r="D111" s="25" t="n">
        <v>0.6282</v>
      </c>
      <c r="E111" s="25" t="n">
        <v>0.3769</v>
      </c>
      <c r="F111" s="25" t="n">
        <v>0.3769</v>
      </c>
      <c r="G111" s="25" t="n">
        <v>0.3769</v>
      </c>
      <c r="H111" s="25" t="n">
        <v>0.3769</v>
      </c>
      <c r="I111" s="25" t="n">
        <v>0.3769</v>
      </c>
    </row>
    <row r="112">
      <c r="A112" s="24" t="inlineStr">
        <is>
          <t>PF241A62D_3</t>
        </is>
      </c>
      <c r="B112" s="25" t="n">
        <v>0.6011</v>
      </c>
      <c r="C112" s="25" t="n">
        <v>0.6011</v>
      </c>
      <c r="D112" s="25" t="n">
        <v>0.6011</v>
      </c>
      <c r="E112" s="25" t="n">
        <v>0.3607</v>
      </c>
      <c r="F112" s="25" t="n">
        <v>0.3607</v>
      </c>
      <c r="G112" s="25" t="n">
        <v>0.3607</v>
      </c>
      <c r="H112" s="25" t="n">
        <v>0.3607</v>
      </c>
      <c r="I112" s="25" t="n">
        <v>0.3607</v>
      </c>
    </row>
    <row r="113">
      <c r="A113" s="24" t="inlineStr">
        <is>
          <t>PF232A63D_3</t>
        </is>
      </c>
      <c r="B113" s="25" t="n">
        <v>0.5451</v>
      </c>
      <c r="C113" s="25" t="n">
        <v>0.5451</v>
      </c>
      <c r="D113" s="25" t="n">
        <v>0.5451</v>
      </c>
      <c r="E113" s="25" t="n">
        <v>0.327</v>
      </c>
      <c r="F113" s="25" t="n">
        <v>0.327</v>
      </c>
      <c r="G113" s="25" t="n">
        <v>0.327</v>
      </c>
      <c r="H113" s="25" t="n">
        <v>0.327</v>
      </c>
      <c r="I113" s="25" t="n">
        <v>0.327</v>
      </c>
    </row>
    <row r="114">
      <c r="A114" s="24" t="inlineStr">
        <is>
          <t>PF223A64D_3</t>
        </is>
      </c>
      <c r="B114" s="25" t="n">
        <v>0.5196</v>
      </c>
      <c r="C114" s="25" t="n">
        <v>0.5196</v>
      </c>
      <c r="D114" s="25" t="n">
        <v>0.5196</v>
      </c>
      <c r="E114" s="25" t="n">
        <v>0.3118</v>
      </c>
      <c r="F114" s="25" t="n">
        <v>0.3118</v>
      </c>
      <c r="G114" s="25" t="n">
        <v>0.3118</v>
      </c>
      <c r="H114" s="25" t="n">
        <v>0.3118</v>
      </c>
      <c r="I114" s="25" t="n">
        <v>0.3118</v>
      </c>
    </row>
    <row r="115">
      <c r="A115" s="24" t="inlineStr">
        <is>
          <t>PF215A64D_3</t>
        </is>
      </c>
      <c r="B115" s="25" t="n">
        <v>0.4881</v>
      </c>
      <c r="C115" s="25" t="n">
        <v>0.4881</v>
      </c>
      <c r="D115" s="25" t="n">
        <v>0.4881</v>
      </c>
      <c r="E115" s="25" t="n">
        <v>0.2929</v>
      </c>
      <c r="F115" s="25" t="n">
        <v>0.2929</v>
      </c>
      <c r="G115" s="25" t="n">
        <v>0.2929</v>
      </c>
      <c r="H115" s="25" t="n">
        <v>0.2929</v>
      </c>
      <c r="I115" s="25" t="n">
        <v>0.2929</v>
      </c>
    </row>
    <row r="116">
      <c r="A116" s="24" t="inlineStr">
        <is>
          <t>PF190A67D_3</t>
        </is>
      </c>
      <c r="B116" s="25" t="n">
        <v>0.4142</v>
      </c>
      <c r="C116" s="25" t="n">
        <v>0.4142</v>
      </c>
      <c r="D116" s="25" t="n">
        <v>0.4142</v>
      </c>
      <c r="E116" s="25" t="n">
        <v>0.2485</v>
      </c>
      <c r="F116" s="25" t="n">
        <v>0.2485</v>
      </c>
      <c r="G116" s="25" t="n">
        <v>0.2485</v>
      </c>
      <c r="H116" s="25" t="n">
        <v>0.2485</v>
      </c>
      <c r="I116" s="25" t="n">
        <v>0.2485</v>
      </c>
    </row>
    <row r="117">
      <c r="A117" s="24" t="inlineStr">
        <is>
          <t>PF333A54D_3</t>
        </is>
      </c>
      <c r="B117" s="25" t="n">
        <v>0.3238</v>
      </c>
      <c r="C117" s="25" t="n">
        <v>0.3238</v>
      </c>
      <c r="D117" s="25" t="n">
        <v>0.3238</v>
      </c>
      <c r="E117" s="25" t="n">
        <v>0.1943</v>
      </c>
      <c r="F117" s="25" t="n">
        <v>0.1943</v>
      </c>
      <c r="G117" s="25" t="n">
        <v>0.1943</v>
      </c>
      <c r="H117" s="25" t="n">
        <v>0.1943</v>
      </c>
      <c r="I117" s="25" t="n">
        <v>0.1943</v>
      </c>
    </row>
    <row r="118">
      <c r="A118" s="24" t="inlineStr">
        <is>
          <t>PF300A57D_3</t>
        </is>
      </c>
      <c r="B118" s="25" t="n">
        <v>0.3216</v>
      </c>
      <c r="C118" s="25" t="n">
        <v>0.3216</v>
      </c>
      <c r="D118" s="25" t="n">
        <v>0.3216</v>
      </c>
      <c r="E118" s="25" t="n">
        <v>0.193</v>
      </c>
      <c r="F118" s="25" t="n">
        <v>0.193</v>
      </c>
      <c r="G118" s="25" t="n">
        <v>0.193</v>
      </c>
      <c r="H118" s="25" t="n">
        <v>0.193</v>
      </c>
      <c r="I118" s="25" t="n">
        <v>0.193</v>
      </c>
    </row>
    <row r="119">
      <c r="A119" s="24" t="inlineStr">
        <is>
          <t>PF316A55D_3</t>
        </is>
      </c>
      <c r="B119" s="25" t="n">
        <v>0.3179</v>
      </c>
      <c r="C119" s="25" t="n">
        <v>0.3179</v>
      </c>
      <c r="D119" s="25" t="n">
        <v>0.3179</v>
      </c>
      <c r="E119" s="25" t="n">
        <v>0.1907</v>
      </c>
      <c r="F119" s="25" t="n">
        <v>0.1907</v>
      </c>
      <c r="G119" s="25" t="n">
        <v>0.1907</v>
      </c>
      <c r="H119" s="25" t="n">
        <v>0.1907</v>
      </c>
      <c r="I119" s="25" t="n">
        <v>0.1907</v>
      </c>
    </row>
    <row r="120">
      <c r="A120" s="24" t="inlineStr">
        <is>
          <t>PF182A68D_3</t>
        </is>
      </c>
      <c r="B120" s="25" t="n">
        <v>0.3094</v>
      </c>
      <c r="C120" s="25" t="n">
        <v>0.3094</v>
      </c>
      <c r="D120" s="25" t="n">
        <v>0.3094</v>
      </c>
      <c r="E120" s="25" t="n">
        <v>0.1857</v>
      </c>
      <c r="F120" s="25" t="n">
        <v>0.1857</v>
      </c>
      <c r="G120" s="25" t="n">
        <v>0.1857</v>
      </c>
      <c r="H120" s="25" t="n">
        <v>0.1857</v>
      </c>
      <c r="I120" s="25" t="n">
        <v>0.1857</v>
      </c>
    </row>
    <row r="121">
      <c r="A121" s="24" t="inlineStr">
        <is>
          <t>PF266A60D_3</t>
        </is>
      </c>
      <c r="B121" s="25" t="n">
        <v>0.3061</v>
      </c>
      <c r="C121" s="25" t="n">
        <v>0.3061</v>
      </c>
      <c r="D121" s="25" t="n">
        <v>0.3061</v>
      </c>
      <c r="E121" s="25" t="n">
        <v>0.1836</v>
      </c>
      <c r="F121" s="25" t="n">
        <v>0.1836</v>
      </c>
      <c r="G121" s="25" t="n">
        <v>0.1836</v>
      </c>
      <c r="H121" s="25" t="n">
        <v>0.1836</v>
      </c>
      <c r="I121" s="25" t="n">
        <v>0.1836</v>
      </c>
    </row>
    <row r="122">
      <c r="A122" s="24" t="inlineStr">
        <is>
          <t>PF274A59D_3</t>
        </is>
      </c>
      <c r="B122" s="25" t="n">
        <v>0.2879</v>
      </c>
      <c r="C122" s="25" t="n">
        <v>0.2879</v>
      </c>
      <c r="D122" s="25" t="n">
        <v>0.2879</v>
      </c>
      <c r="E122" s="25" t="n">
        <v>0.1727</v>
      </c>
      <c r="F122" s="25" t="n">
        <v>0.1727</v>
      </c>
      <c r="G122" s="25" t="n">
        <v>0.1727</v>
      </c>
      <c r="H122" s="25" t="n">
        <v>0.1727</v>
      </c>
      <c r="I122" s="25" t="n">
        <v>0.1727</v>
      </c>
    </row>
    <row r="123">
      <c r="A123" s="24" t="inlineStr">
        <is>
          <t>PF348A53D_3</t>
        </is>
      </c>
      <c r="B123" s="25" t="n">
        <v>0.2761</v>
      </c>
      <c r="C123" s="25" t="n">
        <v>0.2761</v>
      </c>
      <c r="D123" s="25" t="n">
        <v>0.2761</v>
      </c>
      <c r="E123" s="25" t="n">
        <v>0.1656</v>
      </c>
      <c r="F123" s="25" t="n">
        <v>0.1656</v>
      </c>
      <c r="G123" s="25" t="n">
        <v>0.1656</v>
      </c>
      <c r="H123" s="25" t="n">
        <v>0.1656</v>
      </c>
      <c r="I123" s="25" t="n">
        <v>0.1656</v>
      </c>
    </row>
    <row r="124">
      <c r="A124" s="24" t="inlineStr">
        <is>
          <t>PF282A58D_3</t>
        </is>
      </c>
      <c r="B124" s="25" t="n">
        <v>0.2677</v>
      </c>
      <c r="C124" s="25" t="n">
        <v>0.2677</v>
      </c>
      <c r="D124" s="25" t="n">
        <v>0.2677</v>
      </c>
      <c r="E124" s="25" t="n">
        <v>0.1606</v>
      </c>
      <c r="F124" s="25" t="n">
        <v>0.1606</v>
      </c>
      <c r="G124" s="25" t="n">
        <v>0.1606</v>
      </c>
      <c r="H124" s="25" t="n">
        <v>0.1606</v>
      </c>
      <c r="I124" s="25" t="n">
        <v>0.1606</v>
      </c>
    </row>
    <row r="125">
      <c r="A125" s="24" t="inlineStr">
        <is>
          <t>PF324A55D_3</t>
        </is>
      </c>
      <c r="B125" s="25" t="n">
        <v>0.2611</v>
      </c>
      <c r="C125" s="25" t="n">
        <v>0.2611</v>
      </c>
      <c r="D125" s="25" t="n">
        <v>0.2611</v>
      </c>
      <c r="E125" s="25" t="n">
        <v>0.1567</v>
      </c>
      <c r="F125" s="25" t="n">
        <v>0.1567</v>
      </c>
      <c r="G125" s="25" t="n">
        <v>0.1567</v>
      </c>
      <c r="H125" s="25" t="n">
        <v>0.1567</v>
      </c>
      <c r="I125" s="25" t="n">
        <v>0.1567</v>
      </c>
    </row>
    <row r="126">
      <c r="A126" s="24" t="inlineStr">
        <is>
          <t>PF360A50D_4</t>
        </is>
      </c>
      <c r="B126" s="25" t="n">
        <v>0.2578</v>
      </c>
      <c r="C126" s="25" t="n">
        <v>0.2578</v>
      </c>
      <c r="D126" s="25" t="n">
        <v>0.2578</v>
      </c>
      <c r="E126" s="25" t="n">
        <v>0.1547</v>
      </c>
      <c r="F126" s="25" t="n">
        <v>0.1547</v>
      </c>
      <c r="G126" s="25" t="n">
        <v>0.1547</v>
      </c>
      <c r="H126" s="25" t="n">
        <v>0.1547</v>
      </c>
      <c r="I126" s="25" t="n">
        <v>0.1547</v>
      </c>
    </row>
    <row r="127">
      <c r="A127" s="24" t="inlineStr">
        <is>
          <t>PF291A57D_3</t>
        </is>
      </c>
      <c r="B127" s="25" t="n">
        <v>0.2457</v>
      </c>
      <c r="C127" s="25" t="n">
        <v>0.2457</v>
      </c>
      <c r="D127" s="25" t="n">
        <v>0.2457</v>
      </c>
      <c r="E127" s="25" t="n">
        <v>0.1474</v>
      </c>
      <c r="F127" s="25" t="n">
        <v>0.1474</v>
      </c>
      <c r="G127" s="25" t="n">
        <v>0.1474</v>
      </c>
      <c r="H127" s="25" t="n">
        <v>0.1474</v>
      </c>
      <c r="I127" s="25" t="n">
        <v>0.1474</v>
      </c>
    </row>
    <row r="128">
      <c r="A128" s="24" t="inlineStr">
        <is>
          <t>PF173A69D_3</t>
        </is>
      </c>
      <c r="B128" s="25" t="n">
        <v>0.2239</v>
      </c>
      <c r="C128" s="25" t="n">
        <v>0.2239</v>
      </c>
      <c r="D128" s="25" t="n">
        <v>0.2239</v>
      </c>
      <c r="E128" s="25" t="n">
        <v>0.1343</v>
      </c>
      <c r="F128" s="25" t="n">
        <v>0.1343</v>
      </c>
      <c r="G128" s="25" t="n">
        <v>0.1343</v>
      </c>
      <c r="H128" s="25" t="n">
        <v>0.1343</v>
      </c>
      <c r="I128" s="25" t="n">
        <v>0.1343</v>
      </c>
    </row>
    <row r="129">
      <c r="A129" s="24" t="inlineStr">
        <is>
          <t>PF384A50D_6</t>
        </is>
      </c>
      <c r="B129" s="25" t="n">
        <v>0.1903</v>
      </c>
      <c r="C129" s="25" t="n">
        <v>0.1903</v>
      </c>
      <c r="D129" s="25" t="n">
        <v>0.1903</v>
      </c>
      <c r="E129" s="25" t="n">
        <v>0.1142</v>
      </c>
      <c r="F129" s="25" t="n">
        <v>0.1142</v>
      </c>
      <c r="G129" s="25" t="n">
        <v>0.1142</v>
      </c>
      <c r="H129" s="25" t="n">
        <v>0.1142</v>
      </c>
      <c r="I129" s="25" t="n">
        <v>0.1142</v>
      </c>
    </row>
    <row r="130">
      <c r="A130" s="24" t="inlineStr">
        <is>
          <t>PF149A72D_3</t>
        </is>
      </c>
      <c r="B130" s="25" t="n">
        <v>0.1634</v>
      </c>
      <c r="C130" s="25" t="n">
        <v>0.1634</v>
      </c>
      <c r="D130" s="25" t="n">
        <v>0.1634</v>
      </c>
      <c r="E130" s="25" t="n">
        <v>0.098</v>
      </c>
      <c r="F130" s="25" t="n">
        <v>0.098</v>
      </c>
      <c r="G130" s="25" t="n">
        <v>0.098</v>
      </c>
      <c r="H130" s="25" t="n">
        <v>0.098</v>
      </c>
      <c r="I130" s="25" t="n">
        <v>0.098</v>
      </c>
    </row>
    <row r="131">
      <c r="A131" s="24" t="inlineStr">
        <is>
          <t>PF165A70D_3</t>
        </is>
      </c>
      <c r="B131" s="25" t="n">
        <v>0.1567</v>
      </c>
      <c r="C131" s="25" t="n">
        <v>0.1567</v>
      </c>
      <c r="D131" s="25" t="n">
        <v>0.1567</v>
      </c>
      <c r="E131" s="25" t="n">
        <v>0.094</v>
      </c>
      <c r="F131" s="25" t="n">
        <v>0.094</v>
      </c>
      <c r="G131" s="25" t="n">
        <v>0.094</v>
      </c>
      <c r="H131" s="25" t="n">
        <v>0.094</v>
      </c>
      <c r="I131" s="25" t="n">
        <v>0.094</v>
      </c>
    </row>
    <row r="132">
      <c r="A132" s="24" t="inlineStr">
        <is>
          <t>PF374A50D_4</t>
        </is>
      </c>
      <c r="B132" s="25" t="n">
        <v>0.1155</v>
      </c>
      <c r="C132" s="25" t="n">
        <v>0.1155</v>
      </c>
      <c r="D132" s="25" t="n">
        <v>0.1155</v>
      </c>
      <c r="E132" s="25" t="n">
        <v>0.0693</v>
      </c>
      <c r="F132" s="25" t="n">
        <v>0.0693</v>
      </c>
      <c r="G132" s="25" t="n">
        <v>0.0693</v>
      </c>
      <c r="H132" s="25" t="n">
        <v>0.0693</v>
      </c>
      <c r="I132" s="25" t="n">
        <v>0.0693</v>
      </c>
    </row>
    <row r="133">
      <c r="A133" s="24" t="inlineStr">
        <is>
          <t>PF156A71D_3</t>
        </is>
      </c>
      <c r="B133" s="25" t="n">
        <v>0.106</v>
      </c>
      <c r="C133" s="25" t="n">
        <v>0.106</v>
      </c>
      <c r="D133" s="25" t="n">
        <v>0.106</v>
      </c>
      <c r="E133" s="25" t="n">
        <v>0.0636</v>
      </c>
      <c r="F133" s="25" t="n">
        <v>0.0636</v>
      </c>
      <c r="G133" s="25" t="n">
        <v>0.0636</v>
      </c>
      <c r="H133" s="25" t="n">
        <v>0.0636</v>
      </c>
      <c r="I133" s="25" t="n">
        <v>0.0636</v>
      </c>
    </row>
    <row r="134">
      <c r="A134" s="24" t="inlineStr">
        <is>
          <t>NITROGEN</t>
        </is>
      </c>
      <c r="B134" s="25" t="n">
        <v>0.1049</v>
      </c>
      <c r="C134" s="25" t="n">
        <v>0.1049</v>
      </c>
      <c r="D134" s="25" t="n">
        <v>0.1049</v>
      </c>
      <c r="E134" s="25" t="n">
        <v>0.0629</v>
      </c>
      <c r="F134" s="25" t="n">
        <v>0.0629</v>
      </c>
      <c r="G134" s="25" t="n">
        <v>0.0629</v>
      </c>
      <c r="H134" s="25" t="n">
        <v>0.0629</v>
      </c>
      <c r="I134" s="25" t="n">
        <v>0.0629</v>
      </c>
    </row>
    <row r="135">
      <c r="A135" s="24" t="inlineStr">
        <is>
          <t>PF358A52D_3</t>
        </is>
      </c>
      <c r="B135" s="25" t="n">
        <v>0.0819</v>
      </c>
      <c r="C135" s="25" t="n">
        <v>0.0819</v>
      </c>
      <c r="D135" s="25" t="n">
        <v>0.0819</v>
      </c>
      <c r="E135" s="25" t="n">
        <v>0.0491</v>
      </c>
      <c r="F135" s="25" t="n">
        <v>0.0491</v>
      </c>
      <c r="G135" s="25" t="n">
        <v>0.0491</v>
      </c>
      <c r="H135" s="25" t="n">
        <v>0.0491</v>
      </c>
      <c r="I135" s="25" t="n">
        <v>0.0491</v>
      </c>
    </row>
    <row r="136">
      <c r="A136" s="24" t="inlineStr">
        <is>
          <t>PF335A53D_4</t>
        </is>
      </c>
      <c r="B136" s="25" t="n">
        <v>0.0738</v>
      </c>
      <c r="C136" s="25" t="n">
        <v>0.0738</v>
      </c>
      <c r="D136" s="25" t="n">
        <v>0.0738</v>
      </c>
      <c r="E136" s="25" t="n">
        <v>0.0443</v>
      </c>
      <c r="F136" s="25" t="n">
        <v>0.0443</v>
      </c>
      <c r="G136" s="25" t="n">
        <v>0.0443</v>
      </c>
      <c r="H136" s="25" t="n">
        <v>0.0443</v>
      </c>
      <c r="I136" s="25" t="n">
        <v>0.0443</v>
      </c>
    </row>
    <row r="137">
      <c r="A137" s="24" t="inlineStr">
        <is>
          <t>NH3</t>
        </is>
      </c>
      <c r="B137" s="25" t="n">
        <v>0.06569999999999999</v>
      </c>
      <c r="C137" s="25" t="n">
        <v>0.06569999999999999</v>
      </c>
      <c r="D137" s="25" t="n">
        <v>0.06569999999999999</v>
      </c>
      <c r="E137" s="25" t="n">
        <v>0.0394</v>
      </c>
      <c r="F137" s="25" t="n">
        <v>0.0394</v>
      </c>
      <c r="G137" s="25" t="n">
        <v>0.0394</v>
      </c>
      <c r="H137" s="25" t="n">
        <v>0.0394</v>
      </c>
      <c r="I137" s="25" t="n">
        <v>0.0394</v>
      </c>
    </row>
    <row r="138">
      <c r="A138" s="24" t="inlineStr">
        <is>
          <t>O2</t>
        </is>
      </c>
      <c r="B138" s="25" t="n">
        <v>0.045</v>
      </c>
      <c r="C138" s="25" t="n">
        <v>0.045</v>
      </c>
      <c r="D138" s="25" t="n">
        <v>0.045</v>
      </c>
      <c r="E138" s="25" t="n">
        <v>0.027</v>
      </c>
      <c r="F138" s="25" t="n">
        <v>0.027</v>
      </c>
      <c r="G138" s="25" t="n">
        <v>0.027</v>
      </c>
      <c r="H138" s="25" t="n">
        <v>0.027</v>
      </c>
      <c r="I138" s="25" t="n">
        <v>0.027</v>
      </c>
    </row>
    <row r="139">
      <c r="A139" s="24" t="inlineStr">
        <is>
          <t>PF388A48D_4</t>
        </is>
      </c>
      <c r="B139" s="25" t="n">
        <v>0.0274</v>
      </c>
      <c r="C139" s="25" t="n">
        <v>0.0274</v>
      </c>
      <c r="D139" s="25" t="n">
        <v>0.0274</v>
      </c>
      <c r="E139" s="25" t="n">
        <v>0.0164</v>
      </c>
      <c r="F139" s="25" t="n">
        <v>0.0164</v>
      </c>
      <c r="G139" s="25" t="n">
        <v>0.0164</v>
      </c>
      <c r="H139" s="25" t="n">
        <v>0.0164</v>
      </c>
      <c r="I139" s="25" t="n">
        <v>0.0164</v>
      </c>
    </row>
    <row r="140">
      <c r="A140" s="24" t="inlineStr">
        <is>
          <t>PF365A51D_3</t>
        </is>
      </c>
      <c r="B140" s="25" t="n">
        <v>0.0166</v>
      </c>
      <c r="C140" s="25" t="n">
        <v>0.0166</v>
      </c>
      <c r="D140" s="25" t="n">
        <v>0.0166</v>
      </c>
      <c r="E140" s="25" t="n">
        <v>0.009900000000000001</v>
      </c>
      <c r="F140" s="25" t="n">
        <v>0.009900000000000001</v>
      </c>
      <c r="G140" s="25" t="n">
        <v>0.009900000000000001</v>
      </c>
      <c r="H140" s="25" t="n">
        <v>0.009900000000000001</v>
      </c>
      <c r="I140" s="25" t="n">
        <v>0.009900000000000001</v>
      </c>
    </row>
    <row r="141">
      <c r="A141" s="24" t="inlineStr">
        <is>
          <t>CO2</t>
        </is>
      </c>
      <c r="B141" s="25" t="n">
        <v>0.0136</v>
      </c>
      <c r="C141" s="25" t="n">
        <v>0.0136</v>
      </c>
      <c r="D141" s="25" t="n">
        <v>0.0136</v>
      </c>
      <c r="E141" s="25" t="n">
        <v>0.008200000000000001</v>
      </c>
      <c r="F141" s="25" t="n">
        <v>0.008200000000000001</v>
      </c>
      <c r="G141" s="25" t="n">
        <v>0.008200000000000001</v>
      </c>
      <c r="H141" s="25" t="n">
        <v>0.008200000000000001</v>
      </c>
      <c r="I141" s="25" t="n">
        <v>0.008200000000000001</v>
      </c>
    </row>
    <row r="142">
      <c r="A142" s="24" t="inlineStr">
        <is>
          <t>PF409A49D_6</t>
        </is>
      </c>
      <c r="B142" s="25" t="n">
        <v>0.0073</v>
      </c>
      <c r="C142" s="25" t="n">
        <v>0.0073</v>
      </c>
      <c r="D142" s="25" t="n">
        <v>0.0073</v>
      </c>
      <c r="E142" s="25" t="n">
        <v>0.0044</v>
      </c>
      <c r="F142" s="25" t="n">
        <v>0.0044</v>
      </c>
      <c r="G142" s="25" t="n">
        <v>0.0044</v>
      </c>
      <c r="H142" s="25" t="n">
        <v>0.0044</v>
      </c>
      <c r="I142" s="25" t="n">
        <v>0.0044</v>
      </c>
    </row>
    <row r="143">
      <c r="A143" s="24" t="inlineStr">
        <is>
          <t>PF403A47D_4</t>
        </is>
      </c>
      <c r="B143" s="25" t="n">
        <v>0.0062</v>
      </c>
      <c r="C143" s="25" t="n">
        <v>0.0062</v>
      </c>
      <c r="D143" s="25" t="n">
        <v>0.0062</v>
      </c>
      <c r="E143" s="25" t="n">
        <v>0.0037</v>
      </c>
      <c r="F143" s="25" t="n">
        <v>0.0037</v>
      </c>
      <c r="G143" s="25" t="n">
        <v>0.0037</v>
      </c>
      <c r="H143" s="25" t="n">
        <v>0.0037</v>
      </c>
      <c r="I143" s="25" t="n">
        <v>0.0037</v>
      </c>
    </row>
    <row r="144">
      <c r="A144" s="24" t="inlineStr">
        <is>
          <t>CO</t>
        </is>
      </c>
      <c r="B144" s="25" t="n">
        <v>0.0053</v>
      </c>
      <c r="C144" s="25" t="n">
        <v>0.0053</v>
      </c>
      <c r="D144" s="25" t="n">
        <v>0.0053</v>
      </c>
      <c r="E144" s="25" t="n">
        <v>0.0032</v>
      </c>
      <c r="F144" s="25" t="n">
        <v>0.0032</v>
      </c>
      <c r="G144" s="25" t="n">
        <v>0.0032</v>
      </c>
      <c r="H144" s="25" t="n">
        <v>0.0032</v>
      </c>
      <c r="I144" s="25" t="n">
        <v>0.0032</v>
      </c>
    </row>
    <row r="145">
      <c r="A145" s="24" t="inlineStr">
        <is>
          <t>PF142A73D_3</t>
        </is>
      </c>
      <c r="B145" s="25" t="n">
        <v>0.0037</v>
      </c>
      <c r="C145" s="25" t="n">
        <v>0.0037</v>
      </c>
      <c r="D145" s="25" t="n">
        <v>0.0037</v>
      </c>
      <c r="E145" s="25" t="n">
        <v>0.0022</v>
      </c>
      <c r="F145" s="25" t="n">
        <v>0.0022</v>
      </c>
      <c r="G145" s="25" t="n">
        <v>0.0022</v>
      </c>
      <c r="H145" s="25" t="n">
        <v>0.0022</v>
      </c>
      <c r="I145" s="25" t="n">
        <v>0.0022</v>
      </c>
    </row>
    <row r="146">
      <c r="A146" s="24" t="inlineStr">
        <is>
          <t>PF416A46D_4</t>
        </is>
      </c>
      <c r="B146" s="25" t="n">
        <v>0.0013</v>
      </c>
      <c r="C146" s="25" t="n">
        <v>0.0013</v>
      </c>
      <c r="D146" s="25" t="n">
        <v>0.0013</v>
      </c>
      <c r="E146" s="25" t="n">
        <v>0.0008</v>
      </c>
      <c r="F146" s="25" t="n">
        <v>0.0008</v>
      </c>
      <c r="G146" s="25" t="n">
        <v>0.0008</v>
      </c>
      <c r="H146" s="25" t="n">
        <v>0.0008</v>
      </c>
      <c r="I146" s="25" t="n">
        <v>0.0008</v>
      </c>
    </row>
    <row r="147">
      <c r="A147" s="24" t="inlineStr">
        <is>
          <t>PF434A47D_6</t>
        </is>
      </c>
      <c r="B147" s="25" t="n">
        <v>0.0003</v>
      </c>
      <c r="C147" s="25" t="n">
        <v>0.0003</v>
      </c>
      <c r="D147" s="25" t="n">
        <v>0.0003</v>
      </c>
      <c r="E147" s="25" t="n">
        <v>0.0002</v>
      </c>
      <c r="F147" s="25" t="n">
        <v>0.0002</v>
      </c>
      <c r="G147" s="25" t="n">
        <v>0.0002</v>
      </c>
      <c r="H147" s="25" t="n">
        <v>0.0002</v>
      </c>
      <c r="I147" s="25" t="n">
        <v>0.0002</v>
      </c>
    </row>
    <row r="148">
      <c r="A148" s="24" t="inlineStr">
        <is>
          <t>PF431A45D_4</t>
        </is>
      </c>
      <c r="B148" s="25" t="n">
        <v>0.0002</v>
      </c>
      <c r="C148" s="25" t="n">
        <v>0.0002</v>
      </c>
      <c r="D148" s="25" t="n">
        <v>0.0002</v>
      </c>
      <c r="E148" s="25" t="n">
        <v>0.0001</v>
      </c>
      <c r="F148" s="25" t="n">
        <v>0.0001</v>
      </c>
      <c r="G148" s="25" t="n">
        <v>0.0001</v>
      </c>
      <c r="H148" s="25" t="n">
        <v>0.0001</v>
      </c>
      <c r="I148" s="25" t="n">
        <v>0.0001</v>
      </c>
    </row>
    <row r="149">
      <c r="A149" s="24" t="inlineStr">
        <is>
          <t>HCL</t>
        </is>
      </c>
      <c r="B149" s="25" t="n">
        <v>0.0001</v>
      </c>
      <c r="C149" s="25" t="n">
        <v>0.0001</v>
      </c>
      <c r="D149" s="25" t="n">
        <v>0.0001</v>
      </c>
      <c r="E149" s="25" t="n">
        <v>0.0001</v>
      </c>
      <c r="F149" s="25" t="n">
        <v>0.0001</v>
      </c>
      <c r="G149" s="25" t="n">
        <v>0.0001</v>
      </c>
      <c r="H149" s="25" t="n">
        <v>0.0001</v>
      </c>
      <c r="I149" s="25" t="n">
        <v>0.0001</v>
      </c>
    </row>
    <row r="150">
      <c r="A150" s="24" t="inlineStr">
        <is>
          <t>PF445A44D_4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</row>
    <row r="151">
      <c r="A151" s="24" t="inlineStr">
        <is>
          <t>PF459A45D_6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</row>
    <row r="152">
      <c r="A152" s="24" t="inlineStr">
        <is>
          <t>PF459A43D_4</t>
        </is>
      </c>
      <c r="B152" s="25" t="n">
        <v>0</v>
      </c>
      <c r="C152" s="25" t="n">
        <v>0</v>
      </c>
      <c r="D152" s="25" t="n">
        <v>0</v>
      </c>
      <c r="E152" s="25" t="n">
        <v>0</v>
      </c>
      <c r="F152" s="25" t="n">
        <v>0</v>
      </c>
      <c r="G152" s="25" t="n">
        <v>0</v>
      </c>
      <c r="H152" s="25" t="n">
        <v>0</v>
      </c>
      <c r="I152" s="25" t="n">
        <v>0</v>
      </c>
    </row>
    <row r="153">
      <c r="A153" s="24" t="inlineStr">
        <is>
          <t>PF474A42D_4</t>
        </is>
      </c>
      <c r="B153" s="25" t="n">
        <v>0</v>
      </c>
      <c r="C153" s="25" t="n">
        <v>0</v>
      </c>
      <c r="D153" s="25" t="n">
        <v>0</v>
      </c>
      <c r="E153" s="25" t="n">
        <v>0</v>
      </c>
      <c r="F153" s="25" t="n">
        <v>0</v>
      </c>
      <c r="G153" s="25" t="n">
        <v>0</v>
      </c>
      <c r="H153" s="25" t="n">
        <v>0</v>
      </c>
      <c r="I153" s="25" t="n">
        <v>0</v>
      </c>
    </row>
    <row r="154">
      <c r="A154" s="24" t="inlineStr">
        <is>
          <t>PF485A44D_6</t>
        </is>
      </c>
      <c r="B154" s="25" t="n">
        <v>0</v>
      </c>
      <c r="C154" s="25" t="n">
        <v>0</v>
      </c>
      <c r="D154" s="25" t="n">
        <v>0</v>
      </c>
      <c r="E154" s="25" t="n">
        <v>0</v>
      </c>
      <c r="F154" s="25" t="n">
        <v>0</v>
      </c>
      <c r="G154" s="25" t="n">
        <v>0</v>
      </c>
      <c r="H154" s="25" t="n">
        <v>0</v>
      </c>
      <c r="I154" s="25" t="n">
        <v>0</v>
      </c>
    </row>
    <row r="155">
      <c r="A155" s="24" t="inlineStr">
        <is>
          <t>PF487A41D_4</t>
        </is>
      </c>
      <c r="B155" s="25" t="n">
        <v>0</v>
      </c>
      <c r="C155" s="25" t="n">
        <v>0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</row>
    <row r="156">
      <c r="A156" s="24" t="inlineStr">
        <is>
          <t>CYCLOPENTANE</t>
        </is>
      </c>
      <c r="B156" s="25" t="n">
        <v>0</v>
      </c>
      <c r="C156" s="25" t="n">
        <v>0</v>
      </c>
      <c r="D156" s="25" t="n">
        <v>0</v>
      </c>
      <c r="E156" s="25" t="n">
        <v>0</v>
      </c>
      <c r="F156" s="25" t="n">
        <v>0</v>
      </c>
      <c r="G156" s="25" t="n">
        <v>0</v>
      </c>
      <c r="H156" s="25" t="n">
        <v>0</v>
      </c>
      <c r="I156" s="25" t="n">
        <v>0</v>
      </c>
    </row>
    <row r="157">
      <c r="A157" s="24" t="inlineStr">
        <is>
          <t>PF510A42D_6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</row>
    <row r="158">
      <c r="A158" s="24" t="inlineStr">
        <is>
          <t>PF502A40D_4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</row>
    <row r="159">
      <c r="A159" s="26" t="inlineStr">
        <is>
          <t>TOTAL (kgmol/hr)</t>
        </is>
      </c>
      <c r="B159" s="27" t="n">
        <v>314.7098</v>
      </c>
      <c r="C159" s="27" t="n">
        <v>314.7098</v>
      </c>
      <c r="D159" s="27" t="n">
        <v>314.7098</v>
      </c>
      <c r="E159" s="27" t="n">
        <v>188.8259</v>
      </c>
      <c r="F159" s="27" t="n">
        <v>188.8259</v>
      </c>
      <c r="G159" s="27" t="n">
        <v>188.8259</v>
      </c>
      <c r="H159" s="27" t="n">
        <v>188.8259</v>
      </c>
      <c r="I159" s="27" t="n">
        <v>188.8259</v>
      </c>
    </row>
    <row r="161">
      <c r="A161" s="11" t="inlineStr">
        <is>
          <t>MASS FRACTION  (mass %)</t>
        </is>
      </c>
    </row>
    <row r="162" ht="26" customHeight="1">
      <c r="A162" s="21" t="inlineStr">
        <is>
          <t>Component</t>
        </is>
      </c>
      <c r="B162" s="22" t="inlineStr">
        <is>
          <t>1 · ENT-01</t>
        </is>
      </c>
      <c r="C162" s="22" t="inlineStr">
        <is>
          <t>2 · P-001</t>
        </is>
      </c>
      <c r="D162" s="22" t="inlineStr">
        <is>
          <t>3 · EL-001</t>
        </is>
      </c>
      <c r="E162" s="22" t="inlineStr">
        <is>
          <t>4 · TEE-01</t>
        </is>
      </c>
      <c r="F162" s="22" t="inlineStr">
        <is>
          <t>5 · PSV-01</t>
        </is>
      </c>
      <c r="G162" s="23" t="inlineStr">
        <is>
          <t>1 · P-002</t>
        </is>
      </c>
      <c r="H162" s="23" t="inlineStr">
        <is>
          <t>2 · EL-002</t>
        </is>
      </c>
      <c r="I162" s="23" t="inlineStr">
        <is>
          <t>3 · VLV-01</t>
        </is>
      </c>
    </row>
    <row r="163">
      <c r="A163" s="24" t="inlineStr">
        <is>
          <t>PROPANE</t>
        </is>
      </c>
      <c r="B163" s="25" t="n">
        <v>5.563</v>
      </c>
      <c r="C163" s="25" t="n">
        <v>5.563</v>
      </c>
      <c r="D163" s="25" t="n">
        <v>5.563</v>
      </c>
      <c r="E163" s="25" t="n">
        <v>5.563</v>
      </c>
      <c r="F163" s="25" t="n">
        <v>5.563</v>
      </c>
      <c r="G163" s="25" t="n">
        <v>5.563</v>
      </c>
      <c r="H163" s="25" t="n">
        <v>5.563</v>
      </c>
      <c r="I163" s="25" t="n">
        <v>5.563</v>
      </c>
    </row>
    <row r="164">
      <c r="A164" s="24" t="inlineStr">
        <is>
          <t>NC4</t>
        </is>
      </c>
      <c r="B164" s="25" t="n">
        <v>6.766</v>
      </c>
      <c r="C164" s="25" t="n">
        <v>6.766</v>
      </c>
      <c r="D164" s="25" t="n">
        <v>6.766</v>
      </c>
      <c r="E164" s="25" t="n">
        <v>6.766</v>
      </c>
      <c r="F164" s="25" t="n">
        <v>6.766</v>
      </c>
      <c r="G164" s="25" t="n">
        <v>6.766</v>
      </c>
      <c r="H164" s="25" t="n">
        <v>6.766</v>
      </c>
      <c r="I164" s="25" t="n">
        <v>6.766</v>
      </c>
    </row>
    <row r="165">
      <c r="A165" s="24" t="inlineStr">
        <is>
          <t>PF208A66D_6</t>
        </is>
      </c>
      <c r="B165" s="25" t="n">
        <v>10.595</v>
      </c>
      <c r="C165" s="25" t="n">
        <v>10.595</v>
      </c>
      <c r="D165" s="25" t="n">
        <v>10.595</v>
      </c>
      <c r="E165" s="25" t="n">
        <v>10.595</v>
      </c>
      <c r="F165" s="25" t="n">
        <v>10.595</v>
      </c>
      <c r="G165" s="25" t="n">
        <v>10.595</v>
      </c>
      <c r="H165" s="25" t="n">
        <v>10.595</v>
      </c>
      <c r="I165" s="25" t="n">
        <v>10.595</v>
      </c>
    </row>
    <row r="166">
      <c r="A166" s="24" t="inlineStr">
        <is>
          <t>PF231A63D_6</t>
        </is>
      </c>
      <c r="B166" s="25" t="n">
        <v>9.776</v>
      </c>
      <c r="C166" s="25" t="n">
        <v>9.776</v>
      </c>
      <c r="D166" s="25" t="n">
        <v>9.776</v>
      </c>
      <c r="E166" s="25" t="n">
        <v>9.776</v>
      </c>
      <c r="F166" s="25" t="n">
        <v>9.776</v>
      </c>
      <c r="G166" s="25" t="n">
        <v>9.776</v>
      </c>
      <c r="H166" s="25" t="n">
        <v>9.776</v>
      </c>
      <c r="I166" s="25" t="n">
        <v>9.776</v>
      </c>
    </row>
    <row r="167">
      <c r="A167" s="24" t="inlineStr">
        <is>
          <t>PF258A61D_6</t>
        </is>
      </c>
      <c r="B167" s="25" t="n">
        <v>9.019</v>
      </c>
      <c r="C167" s="25" t="n">
        <v>9.019</v>
      </c>
      <c r="D167" s="25" t="n">
        <v>9.019</v>
      </c>
      <c r="E167" s="25" t="n">
        <v>9.019</v>
      </c>
      <c r="F167" s="25" t="n">
        <v>9.019</v>
      </c>
      <c r="G167" s="25" t="n">
        <v>9.019</v>
      </c>
      <c r="H167" s="25" t="n">
        <v>9.019</v>
      </c>
      <c r="I167" s="25" t="n">
        <v>9.019</v>
      </c>
    </row>
    <row r="168">
      <c r="A168" s="24" t="inlineStr">
        <is>
          <t>PF183A70D_6</t>
        </is>
      </c>
      <c r="B168" s="25" t="n">
        <v>6.95</v>
      </c>
      <c r="C168" s="25" t="n">
        <v>6.95</v>
      </c>
      <c r="D168" s="25" t="n">
        <v>6.95</v>
      </c>
      <c r="E168" s="25" t="n">
        <v>6.95</v>
      </c>
      <c r="F168" s="25" t="n">
        <v>6.95</v>
      </c>
      <c r="G168" s="25" t="n">
        <v>6.95</v>
      </c>
      <c r="H168" s="25" t="n">
        <v>6.95</v>
      </c>
      <c r="I168" s="25" t="n">
        <v>6.95</v>
      </c>
    </row>
    <row r="169">
      <c r="A169" s="24" t="inlineStr">
        <is>
          <t>ETHANE</t>
        </is>
      </c>
      <c r="B169" s="25" t="n">
        <v>2.216</v>
      </c>
      <c r="C169" s="25" t="n">
        <v>2.216</v>
      </c>
      <c r="D169" s="25" t="n">
        <v>2.216</v>
      </c>
      <c r="E169" s="25" t="n">
        <v>2.216</v>
      </c>
      <c r="F169" s="25" t="n">
        <v>2.216</v>
      </c>
      <c r="G169" s="25" t="n">
        <v>2.216</v>
      </c>
      <c r="H169" s="25" t="n">
        <v>2.216</v>
      </c>
      <c r="I169" s="25" t="n">
        <v>2.216</v>
      </c>
    </row>
    <row r="170">
      <c r="A170" s="24" t="inlineStr">
        <is>
          <t>NC5</t>
        </is>
      </c>
      <c r="B170" s="25" t="n">
        <v>5.3</v>
      </c>
      <c r="C170" s="25" t="n">
        <v>5.3</v>
      </c>
      <c r="D170" s="25" t="n">
        <v>5.3</v>
      </c>
      <c r="E170" s="25" t="n">
        <v>5.3</v>
      </c>
      <c r="F170" s="25" t="n">
        <v>5.3</v>
      </c>
      <c r="G170" s="25" t="n">
        <v>5.3</v>
      </c>
      <c r="H170" s="25" t="n">
        <v>5.3</v>
      </c>
      <c r="I170" s="25" t="n">
        <v>5.3</v>
      </c>
    </row>
    <row r="171">
      <c r="A171" s="24" t="inlineStr">
        <is>
          <t>PF282A58D_6</t>
        </is>
      </c>
      <c r="B171" s="25" t="n">
        <v>8.622999999999999</v>
      </c>
      <c r="C171" s="25" t="n">
        <v>8.622999999999999</v>
      </c>
      <c r="D171" s="25" t="n">
        <v>8.622999999999999</v>
      </c>
      <c r="E171" s="25" t="n">
        <v>8.622999999999999</v>
      </c>
      <c r="F171" s="25" t="n">
        <v>8.622999999999999</v>
      </c>
      <c r="G171" s="25" t="n">
        <v>8.622999999999999</v>
      </c>
      <c r="H171" s="25" t="n">
        <v>8.622999999999999</v>
      </c>
      <c r="I171" s="25" t="n">
        <v>8.622999999999999</v>
      </c>
    </row>
    <row r="172">
      <c r="A172" s="24" t="inlineStr">
        <is>
          <t>IC4</t>
        </is>
      </c>
      <c r="B172" s="25" t="n">
        <v>3.987</v>
      </c>
      <c r="C172" s="25" t="n">
        <v>3.987</v>
      </c>
      <c r="D172" s="25" t="n">
        <v>3.987</v>
      </c>
      <c r="E172" s="25" t="n">
        <v>3.987</v>
      </c>
      <c r="F172" s="25" t="n">
        <v>3.987</v>
      </c>
      <c r="G172" s="25" t="n">
        <v>3.987</v>
      </c>
      <c r="H172" s="25" t="n">
        <v>3.987</v>
      </c>
      <c r="I172" s="25" t="n">
        <v>3.987</v>
      </c>
    </row>
    <row r="173">
      <c r="A173" s="24" t="inlineStr">
        <is>
          <t>IC5</t>
        </is>
      </c>
      <c r="B173" s="25" t="n">
        <v>4.127</v>
      </c>
      <c r="C173" s="25" t="n">
        <v>4.127</v>
      </c>
      <c r="D173" s="25" t="n">
        <v>4.127</v>
      </c>
      <c r="E173" s="25" t="n">
        <v>4.127</v>
      </c>
      <c r="F173" s="25" t="n">
        <v>4.127</v>
      </c>
      <c r="G173" s="25" t="n">
        <v>4.127</v>
      </c>
      <c r="H173" s="25" t="n">
        <v>4.127</v>
      </c>
      <c r="I173" s="25" t="n">
        <v>4.127</v>
      </c>
    </row>
    <row r="174">
      <c r="A174" s="24" t="inlineStr">
        <is>
          <t>PF129A74D_6</t>
        </is>
      </c>
      <c r="B174" s="25" t="n">
        <v>4.039</v>
      </c>
      <c r="C174" s="25" t="n">
        <v>4.039</v>
      </c>
      <c r="D174" s="25" t="n">
        <v>4.039</v>
      </c>
      <c r="E174" s="25" t="n">
        <v>4.039</v>
      </c>
      <c r="F174" s="25" t="n">
        <v>4.039</v>
      </c>
      <c r="G174" s="25" t="n">
        <v>4.039</v>
      </c>
      <c r="H174" s="25" t="n">
        <v>4.039</v>
      </c>
      <c r="I174" s="25" t="n">
        <v>4.039</v>
      </c>
    </row>
    <row r="175">
      <c r="A175" s="24" t="inlineStr">
        <is>
          <t>H2S</t>
        </is>
      </c>
      <c r="B175" s="25" t="n">
        <v>1.758</v>
      </c>
      <c r="C175" s="25" t="n">
        <v>1.758</v>
      </c>
      <c r="D175" s="25" t="n">
        <v>1.758</v>
      </c>
      <c r="E175" s="25" t="n">
        <v>1.758</v>
      </c>
      <c r="F175" s="25" t="n">
        <v>1.758</v>
      </c>
      <c r="G175" s="25" t="n">
        <v>1.758</v>
      </c>
      <c r="H175" s="25" t="n">
        <v>1.758</v>
      </c>
      <c r="I175" s="25" t="n">
        <v>1.758</v>
      </c>
    </row>
    <row r="176">
      <c r="A176" s="24" t="inlineStr">
        <is>
          <t>PF158A72D_6</t>
        </is>
      </c>
      <c r="B176" s="25" t="n">
        <v>4.216</v>
      </c>
      <c r="C176" s="25" t="n">
        <v>4.216</v>
      </c>
      <c r="D176" s="25" t="n">
        <v>4.216</v>
      </c>
      <c r="E176" s="25" t="n">
        <v>4.216</v>
      </c>
      <c r="F176" s="25" t="n">
        <v>4.216</v>
      </c>
      <c r="G176" s="25" t="n">
        <v>4.216</v>
      </c>
      <c r="H176" s="25" t="n">
        <v>4.216</v>
      </c>
      <c r="I176" s="25" t="n">
        <v>4.216</v>
      </c>
    </row>
    <row r="177">
      <c r="A177" s="24" t="inlineStr">
        <is>
          <t>H2</t>
        </is>
      </c>
      <c r="B177" s="25" t="n">
        <v>0.094</v>
      </c>
      <c r="C177" s="25" t="n">
        <v>0.094</v>
      </c>
      <c r="D177" s="25" t="n">
        <v>0.094</v>
      </c>
      <c r="E177" s="25" t="n">
        <v>0.094</v>
      </c>
      <c r="F177" s="25" t="n">
        <v>0.094</v>
      </c>
      <c r="G177" s="25" t="n">
        <v>0.094</v>
      </c>
      <c r="H177" s="25" t="n">
        <v>0.094</v>
      </c>
      <c r="I177" s="25" t="n">
        <v>0.094</v>
      </c>
    </row>
    <row r="178">
      <c r="A178" s="24" t="inlineStr">
        <is>
          <t>PF308A56D_6</t>
        </is>
      </c>
      <c r="B178" s="25" t="n">
        <v>4.854</v>
      </c>
      <c r="C178" s="25" t="n">
        <v>4.854</v>
      </c>
      <c r="D178" s="25" t="n">
        <v>4.854</v>
      </c>
      <c r="E178" s="25" t="n">
        <v>4.854</v>
      </c>
      <c r="F178" s="25" t="n">
        <v>4.854</v>
      </c>
      <c r="G178" s="25" t="n">
        <v>4.854</v>
      </c>
      <c r="H178" s="25" t="n">
        <v>4.854</v>
      </c>
      <c r="I178" s="25" t="n">
        <v>4.854</v>
      </c>
    </row>
    <row r="179">
      <c r="A179" s="24" t="inlineStr">
        <is>
          <t>METHANE</t>
        </is>
      </c>
      <c r="B179" s="25" t="n">
        <v>0.5639999999999999</v>
      </c>
      <c r="C179" s="25" t="n">
        <v>0.5639999999999999</v>
      </c>
      <c r="D179" s="25" t="n">
        <v>0.5639999999999999</v>
      </c>
      <c r="E179" s="25" t="n">
        <v>0.5639999999999999</v>
      </c>
      <c r="F179" s="25" t="n">
        <v>0.5639999999999999</v>
      </c>
      <c r="G179" s="25" t="n">
        <v>0.5639999999999999</v>
      </c>
      <c r="H179" s="25" t="n">
        <v>0.5639999999999999</v>
      </c>
      <c r="I179" s="25" t="n">
        <v>0.5639999999999999</v>
      </c>
    </row>
    <row r="180">
      <c r="A180" s="24" t="inlineStr">
        <is>
          <t>PF333A55D_6</t>
        </is>
      </c>
      <c r="B180" s="25" t="n">
        <v>3.477</v>
      </c>
      <c r="C180" s="25" t="n">
        <v>3.477</v>
      </c>
      <c r="D180" s="25" t="n">
        <v>3.477</v>
      </c>
      <c r="E180" s="25" t="n">
        <v>3.477</v>
      </c>
      <c r="F180" s="25" t="n">
        <v>3.477</v>
      </c>
      <c r="G180" s="25" t="n">
        <v>3.477</v>
      </c>
      <c r="H180" s="25" t="n">
        <v>3.477</v>
      </c>
      <c r="I180" s="25" t="n">
        <v>3.477</v>
      </c>
    </row>
    <row r="181">
      <c r="A181" s="24" t="inlineStr">
        <is>
          <t>PF359A53D_6</t>
        </is>
      </c>
      <c r="B181" s="25" t="n">
        <v>1.41</v>
      </c>
      <c r="C181" s="25" t="n">
        <v>1.41</v>
      </c>
      <c r="D181" s="25" t="n">
        <v>1.41</v>
      </c>
      <c r="E181" s="25" t="n">
        <v>1.41</v>
      </c>
      <c r="F181" s="25" t="n">
        <v>1.41</v>
      </c>
      <c r="G181" s="25" t="n">
        <v>1.41</v>
      </c>
      <c r="H181" s="25" t="n">
        <v>1.41</v>
      </c>
      <c r="I181" s="25" t="n">
        <v>1.41</v>
      </c>
    </row>
    <row r="182">
      <c r="A182" s="24" t="inlineStr">
        <is>
          <t>PF115A77D_6</t>
        </is>
      </c>
      <c r="B182" s="25" t="n">
        <v>0.553</v>
      </c>
      <c r="C182" s="25" t="n">
        <v>0.553</v>
      </c>
      <c r="D182" s="25" t="n">
        <v>0.553</v>
      </c>
      <c r="E182" s="25" t="n">
        <v>0.553</v>
      </c>
      <c r="F182" s="25" t="n">
        <v>0.553</v>
      </c>
      <c r="G182" s="25" t="n">
        <v>0.553</v>
      </c>
      <c r="H182" s="25" t="n">
        <v>0.553</v>
      </c>
      <c r="I182" s="25" t="n">
        <v>0.553</v>
      </c>
    </row>
    <row r="183">
      <c r="A183" s="24" t="inlineStr">
        <is>
          <t>H2O</t>
        </is>
      </c>
      <c r="B183" s="25" t="n">
        <v>0.097</v>
      </c>
      <c r="C183" s="25" t="n">
        <v>0.097</v>
      </c>
      <c r="D183" s="25" t="n">
        <v>0.097</v>
      </c>
      <c r="E183" s="25" t="n">
        <v>0.097</v>
      </c>
      <c r="F183" s="25" t="n">
        <v>0.097</v>
      </c>
      <c r="G183" s="25" t="n">
        <v>0.097</v>
      </c>
      <c r="H183" s="25" t="n">
        <v>0.097</v>
      </c>
      <c r="I183" s="25" t="n">
        <v>0.097</v>
      </c>
    </row>
    <row r="184">
      <c r="A184" s="24" t="inlineStr">
        <is>
          <t>PF307A56D_3</t>
        </is>
      </c>
      <c r="B184" s="25" t="n">
        <v>0.506</v>
      </c>
      <c r="C184" s="25" t="n">
        <v>0.506</v>
      </c>
      <c r="D184" s="25" t="n">
        <v>0.506</v>
      </c>
      <c r="E184" s="25" t="n">
        <v>0.506</v>
      </c>
      <c r="F184" s="25" t="n">
        <v>0.506</v>
      </c>
      <c r="G184" s="25" t="n">
        <v>0.506</v>
      </c>
      <c r="H184" s="25" t="n">
        <v>0.506</v>
      </c>
      <c r="I184" s="25" t="n">
        <v>0.506</v>
      </c>
    </row>
    <row r="185">
      <c r="A185" s="24" t="inlineStr">
        <is>
          <t>PF257A60D_3</t>
        </is>
      </c>
      <c r="B185" s="25" t="n">
        <v>0.394</v>
      </c>
      <c r="C185" s="25" t="n">
        <v>0.394</v>
      </c>
      <c r="D185" s="25" t="n">
        <v>0.394</v>
      </c>
      <c r="E185" s="25" t="n">
        <v>0.394</v>
      </c>
      <c r="F185" s="25" t="n">
        <v>0.394</v>
      </c>
      <c r="G185" s="25" t="n">
        <v>0.394</v>
      </c>
      <c r="H185" s="25" t="n">
        <v>0.394</v>
      </c>
      <c r="I185" s="25" t="n">
        <v>0.394</v>
      </c>
    </row>
    <row r="186">
      <c r="A186" s="24" t="inlineStr">
        <is>
          <t>PF249A61D_3</t>
        </is>
      </c>
      <c r="B186" s="25" t="n">
        <v>0.381</v>
      </c>
      <c r="C186" s="25" t="n">
        <v>0.381</v>
      </c>
      <c r="D186" s="25" t="n">
        <v>0.381</v>
      </c>
      <c r="E186" s="25" t="n">
        <v>0.381</v>
      </c>
      <c r="F186" s="25" t="n">
        <v>0.381</v>
      </c>
      <c r="G186" s="25" t="n">
        <v>0.381</v>
      </c>
      <c r="H186" s="25" t="n">
        <v>0.381</v>
      </c>
      <c r="I186" s="25" t="n">
        <v>0.381</v>
      </c>
    </row>
    <row r="187">
      <c r="A187" s="24" t="inlineStr">
        <is>
          <t>PF206A65D_3</t>
        </is>
      </c>
      <c r="B187" s="25" t="n">
        <v>0.333</v>
      </c>
      <c r="C187" s="25" t="n">
        <v>0.333</v>
      </c>
      <c r="D187" s="25" t="n">
        <v>0.333</v>
      </c>
      <c r="E187" s="25" t="n">
        <v>0.333</v>
      </c>
      <c r="F187" s="25" t="n">
        <v>0.333</v>
      </c>
      <c r="G187" s="25" t="n">
        <v>0.333</v>
      </c>
      <c r="H187" s="25" t="n">
        <v>0.333</v>
      </c>
      <c r="I187" s="25" t="n">
        <v>0.333</v>
      </c>
    </row>
    <row r="188">
      <c r="A188" s="24" t="inlineStr">
        <is>
          <t>PF199A66D_3</t>
        </is>
      </c>
      <c r="B188" s="25" t="n">
        <v>0.3</v>
      </c>
      <c r="C188" s="25" t="n">
        <v>0.3</v>
      </c>
      <c r="D188" s="25" t="n">
        <v>0.3</v>
      </c>
      <c r="E188" s="25" t="n">
        <v>0.3</v>
      </c>
      <c r="F188" s="25" t="n">
        <v>0.3</v>
      </c>
      <c r="G188" s="25" t="n">
        <v>0.3</v>
      </c>
      <c r="H188" s="25" t="n">
        <v>0.3</v>
      </c>
      <c r="I188" s="25" t="n">
        <v>0.3</v>
      </c>
    </row>
    <row r="189">
      <c r="A189" s="24" t="inlineStr">
        <is>
          <t>PF343A53D_3</t>
        </is>
      </c>
      <c r="B189" s="25" t="n">
        <v>0.396</v>
      </c>
      <c r="C189" s="25" t="n">
        <v>0.396</v>
      </c>
      <c r="D189" s="25" t="n">
        <v>0.396</v>
      </c>
      <c r="E189" s="25" t="n">
        <v>0.396</v>
      </c>
      <c r="F189" s="25" t="n">
        <v>0.396</v>
      </c>
      <c r="G189" s="25" t="n">
        <v>0.396</v>
      </c>
      <c r="H189" s="25" t="n">
        <v>0.396</v>
      </c>
      <c r="I189" s="25" t="n">
        <v>0.396</v>
      </c>
    </row>
    <row r="190">
      <c r="A190" s="24" t="inlineStr">
        <is>
          <t>PF344A51D_4</t>
        </is>
      </c>
      <c r="B190" s="25" t="n">
        <v>0.366</v>
      </c>
      <c r="C190" s="25" t="n">
        <v>0.366</v>
      </c>
      <c r="D190" s="25" t="n">
        <v>0.366</v>
      </c>
      <c r="E190" s="25" t="n">
        <v>0.366</v>
      </c>
      <c r="F190" s="25" t="n">
        <v>0.366</v>
      </c>
      <c r="G190" s="25" t="n">
        <v>0.366</v>
      </c>
      <c r="H190" s="25" t="n">
        <v>0.366</v>
      </c>
      <c r="I190" s="25" t="n">
        <v>0.366</v>
      </c>
    </row>
    <row r="191">
      <c r="A191" s="24" t="inlineStr">
        <is>
          <t>PF241A62D_3</t>
        </is>
      </c>
      <c r="B191" s="25" t="n">
        <v>0.269</v>
      </c>
      <c r="C191" s="25" t="n">
        <v>0.269</v>
      </c>
      <c r="D191" s="25" t="n">
        <v>0.269</v>
      </c>
      <c r="E191" s="25" t="n">
        <v>0.269</v>
      </c>
      <c r="F191" s="25" t="n">
        <v>0.269</v>
      </c>
      <c r="G191" s="25" t="n">
        <v>0.269</v>
      </c>
      <c r="H191" s="25" t="n">
        <v>0.269</v>
      </c>
      <c r="I191" s="25" t="n">
        <v>0.269</v>
      </c>
    </row>
    <row r="192">
      <c r="A192" s="24" t="inlineStr">
        <is>
          <t>PF232A63D_3</t>
        </is>
      </c>
      <c r="B192" s="25" t="n">
        <v>0.238</v>
      </c>
      <c r="C192" s="25" t="n">
        <v>0.238</v>
      </c>
      <c r="D192" s="25" t="n">
        <v>0.238</v>
      </c>
      <c r="E192" s="25" t="n">
        <v>0.238</v>
      </c>
      <c r="F192" s="25" t="n">
        <v>0.238</v>
      </c>
      <c r="G192" s="25" t="n">
        <v>0.238</v>
      </c>
      <c r="H192" s="25" t="n">
        <v>0.238</v>
      </c>
      <c r="I192" s="25" t="n">
        <v>0.238</v>
      </c>
    </row>
    <row r="193">
      <c r="A193" s="24" t="inlineStr">
        <is>
          <t>PF223A64D_3</t>
        </is>
      </c>
      <c r="B193" s="25" t="n">
        <v>0.222</v>
      </c>
      <c r="C193" s="25" t="n">
        <v>0.222</v>
      </c>
      <c r="D193" s="25" t="n">
        <v>0.222</v>
      </c>
      <c r="E193" s="25" t="n">
        <v>0.222</v>
      </c>
      <c r="F193" s="25" t="n">
        <v>0.222</v>
      </c>
      <c r="G193" s="25" t="n">
        <v>0.222</v>
      </c>
      <c r="H193" s="25" t="n">
        <v>0.222</v>
      </c>
      <c r="I193" s="25" t="n">
        <v>0.222</v>
      </c>
    </row>
    <row r="194">
      <c r="A194" s="24" t="inlineStr">
        <is>
          <t>PF215A64D_3</t>
        </is>
      </c>
      <c r="B194" s="25" t="n">
        <v>0.204</v>
      </c>
      <c r="C194" s="25" t="n">
        <v>0.204</v>
      </c>
      <c r="D194" s="25" t="n">
        <v>0.204</v>
      </c>
      <c r="E194" s="25" t="n">
        <v>0.204</v>
      </c>
      <c r="F194" s="25" t="n">
        <v>0.204</v>
      </c>
      <c r="G194" s="25" t="n">
        <v>0.204</v>
      </c>
      <c r="H194" s="25" t="n">
        <v>0.204</v>
      </c>
      <c r="I194" s="25" t="n">
        <v>0.204</v>
      </c>
    </row>
    <row r="195">
      <c r="A195" s="24" t="inlineStr">
        <is>
          <t>PF190A67D_3</t>
        </is>
      </c>
      <c r="B195" s="25" t="n">
        <v>0.161</v>
      </c>
      <c r="C195" s="25" t="n">
        <v>0.161</v>
      </c>
      <c r="D195" s="25" t="n">
        <v>0.161</v>
      </c>
      <c r="E195" s="25" t="n">
        <v>0.161</v>
      </c>
      <c r="F195" s="25" t="n">
        <v>0.161</v>
      </c>
      <c r="G195" s="25" t="n">
        <v>0.161</v>
      </c>
      <c r="H195" s="25" t="n">
        <v>0.161</v>
      </c>
      <c r="I195" s="25" t="n">
        <v>0.161</v>
      </c>
    </row>
    <row r="196">
      <c r="A196" s="24" t="inlineStr">
        <is>
          <t>PF333A54D_3</t>
        </is>
      </c>
      <c r="B196" s="25" t="n">
        <v>0.185</v>
      </c>
      <c r="C196" s="25" t="n">
        <v>0.185</v>
      </c>
      <c r="D196" s="25" t="n">
        <v>0.185</v>
      </c>
      <c r="E196" s="25" t="n">
        <v>0.185</v>
      </c>
      <c r="F196" s="25" t="n">
        <v>0.185</v>
      </c>
      <c r="G196" s="25" t="n">
        <v>0.185</v>
      </c>
      <c r="H196" s="25" t="n">
        <v>0.185</v>
      </c>
      <c r="I196" s="25" t="n">
        <v>0.185</v>
      </c>
    </row>
    <row r="197">
      <c r="A197" s="24" t="inlineStr">
        <is>
          <t>PF300A57D_3</t>
        </is>
      </c>
      <c r="B197" s="25" t="n">
        <v>0.169</v>
      </c>
      <c r="C197" s="25" t="n">
        <v>0.169</v>
      </c>
      <c r="D197" s="25" t="n">
        <v>0.169</v>
      </c>
      <c r="E197" s="25" t="n">
        <v>0.169</v>
      </c>
      <c r="F197" s="25" t="n">
        <v>0.169</v>
      </c>
      <c r="G197" s="25" t="n">
        <v>0.169</v>
      </c>
      <c r="H197" s="25" t="n">
        <v>0.169</v>
      </c>
      <c r="I197" s="25" t="n">
        <v>0.169</v>
      </c>
    </row>
    <row r="198">
      <c r="A198" s="24" t="inlineStr">
        <is>
          <t>PF316A55D_3</t>
        </is>
      </c>
      <c r="B198" s="25" t="n">
        <v>0.174</v>
      </c>
      <c r="C198" s="25" t="n">
        <v>0.174</v>
      </c>
      <c r="D198" s="25" t="n">
        <v>0.174</v>
      </c>
      <c r="E198" s="25" t="n">
        <v>0.174</v>
      </c>
      <c r="F198" s="25" t="n">
        <v>0.174</v>
      </c>
      <c r="G198" s="25" t="n">
        <v>0.174</v>
      </c>
      <c r="H198" s="25" t="n">
        <v>0.174</v>
      </c>
      <c r="I198" s="25" t="n">
        <v>0.174</v>
      </c>
    </row>
    <row r="199">
      <c r="A199" s="24" t="inlineStr">
        <is>
          <t>PF182A68D_3</t>
        </is>
      </c>
      <c r="B199" s="25" t="n">
        <v>0.118</v>
      </c>
      <c r="C199" s="25" t="n">
        <v>0.118</v>
      </c>
      <c r="D199" s="25" t="n">
        <v>0.118</v>
      </c>
      <c r="E199" s="25" t="n">
        <v>0.118</v>
      </c>
      <c r="F199" s="25" t="n">
        <v>0.118</v>
      </c>
      <c r="G199" s="25" t="n">
        <v>0.118</v>
      </c>
      <c r="H199" s="25" t="n">
        <v>0.118</v>
      </c>
      <c r="I199" s="25" t="n">
        <v>0.118</v>
      </c>
    </row>
    <row r="200">
      <c r="A200" s="24" t="inlineStr">
        <is>
          <t>PF266A60D_3</t>
        </is>
      </c>
      <c r="B200" s="25" t="n">
        <v>0.147</v>
      </c>
      <c r="C200" s="25" t="n">
        <v>0.147</v>
      </c>
      <c r="D200" s="25" t="n">
        <v>0.147</v>
      </c>
      <c r="E200" s="25" t="n">
        <v>0.147</v>
      </c>
      <c r="F200" s="25" t="n">
        <v>0.147</v>
      </c>
      <c r="G200" s="25" t="n">
        <v>0.147</v>
      </c>
      <c r="H200" s="25" t="n">
        <v>0.147</v>
      </c>
      <c r="I200" s="25" t="n">
        <v>0.147</v>
      </c>
    </row>
    <row r="201">
      <c r="A201" s="24" t="inlineStr">
        <is>
          <t>PF274A59D_3</t>
        </is>
      </c>
      <c r="B201" s="25" t="n">
        <v>0.141</v>
      </c>
      <c r="C201" s="25" t="n">
        <v>0.141</v>
      </c>
      <c r="D201" s="25" t="n">
        <v>0.141</v>
      </c>
      <c r="E201" s="25" t="n">
        <v>0.141</v>
      </c>
      <c r="F201" s="25" t="n">
        <v>0.141</v>
      </c>
      <c r="G201" s="25" t="n">
        <v>0.141</v>
      </c>
      <c r="H201" s="25" t="n">
        <v>0.141</v>
      </c>
      <c r="I201" s="25" t="n">
        <v>0.141</v>
      </c>
    </row>
    <row r="202">
      <c r="A202" s="24" t="inlineStr">
        <is>
          <t>PF348A53D_3</t>
        </is>
      </c>
      <c r="B202" s="25" t="n">
        <v>0.164</v>
      </c>
      <c r="C202" s="25" t="n">
        <v>0.164</v>
      </c>
      <c r="D202" s="25" t="n">
        <v>0.164</v>
      </c>
      <c r="E202" s="25" t="n">
        <v>0.164</v>
      </c>
      <c r="F202" s="25" t="n">
        <v>0.164</v>
      </c>
      <c r="G202" s="25" t="n">
        <v>0.164</v>
      </c>
      <c r="H202" s="25" t="n">
        <v>0.164</v>
      </c>
      <c r="I202" s="25" t="n">
        <v>0.164</v>
      </c>
    </row>
    <row r="203">
      <c r="A203" s="24" t="inlineStr">
        <is>
          <t>PF282A58D_3</t>
        </is>
      </c>
      <c r="B203" s="25" t="n">
        <v>0.134</v>
      </c>
      <c r="C203" s="25" t="n">
        <v>0.134</v>
      </c>
      <c r="D203" s="25" t="n">
        <v>0.134</v>
      </c>
      <c r="E203" s="25" t="n">
        <v>0.134</v>
      </c>
      <c r="F203" s="25" t="n">
        <v>0.134</v>
      </c>
      <c r="G203" s="25" t="n">
        <v>0.134</v>
      </c>
      <c r="H203" s="25" t="n">
        <v>0.134</v>
      </c>
      <c r="I203" s="25" t="n">
        <v>0.134</v>
      </c>
    </row>
    <row r="204">
      <c r="A204" s="24" t="inlineStr">
        <is>
          <t>PF324A55D_3</t>
        </is>
      </c>
      <c r="B204" s="25" t="n">
        <v>0.146</v>
      </c>
      <c r="C204" s="25" t="n">
        <v>0.146</v>
      </c>
      <c r="D204" s="25" t="n">
        <v>0.146</v>
      </c>
      <c r="E204" s="25" t="n">
        <v>0.146</v>
      </c>
      <c r="F204" s="25" t="n">
        <v>0.146</v>
      </c>
      <c r="G204" s="25" t="n">
        <v>0.146</v>
      </c>
      <c r="H204" s="25" t="n">
        <v>0.146</v>
      </c>
      <c r="I204" s="25" t="n">
        <v>0.146</v>
      </c>
    </row>
    <row r="205">
      <c r="A205" s="24" t="inlineStr">
        <is>
          <t>PF360A50D_4</t>
        </is>
      </c>
      <c r="B205" s="25" t="n">
        <v>0.157</v>
      </c>
      <c r="C205" s="25" t="n">
        <v>0.157</v>
      </c>
      <c r="D205" s="25" t="n">
        <v>0.157</v>
      </c>
      <c r="E205" s="25" t="n">
        <v>0.157</v>
      </c>
      <c r="F205" s="25" t="n">
        <v>0.157</v>
      </c>
      <c r="G205" s="25" t="n">
        <v>0.157</v>
      </c>
      <c r="H205" s="25" t="n">
        <v>0.157</v>
      </c>
      <c r="I205" s="25" t="n">
        <v>0.157</v>
      </c>
    </row>
    <row r="206">
      <c r="A206" s="24" t="inlineStr">
        <is>
          <t>PF291A57D_3</t>
        </is>
      </c>
      <c r="B206" s="25" t="n">
        <v>0.126</v>
      </c>
      <c r="C206" s="25" t="n">
        <v>0.126</v>
      </c>
      <c r="D206" s="25" t="n">
        <v>0.126</v>
      </c>
      <c r="E206" s="25" t="n">
        <v>0.126</v>
      </c>
      <c r="F206" s="25" t="n">
        <v>0.126</v>
      </c>
      <c r="G206" s="25" t="n">
        <v>0.126</v>
      </c>
      <c r="H206" s="25" t="n">
        <v>0.126</v>
      </c>
      <c r="I206" s="25" t="n">
        <v>0.126</v>
      </c>
    </row>
    <row r="207">
      <c r="A207" s="24" t="inlineStr">
        <is>
          <t>PF173A69D_3</t>
        </is>
      </c>
      <c r="B207" s="25" t="n">
        <v>0.083</v>
      </c>
      <c r="C207" s="25" t="n">
        <v>0.083</v>
      </c>
      <c r="D207" s="25" t="n">
        <v>0.083</v>
      </c>
      <c r="E207" s="25" t="n">
        <v>0.083</v>
      </c>
      <c r="F207" s="25" t="n">
        <v>0.083</v>
      </c>
      <c r="G207" s="25" t="n">
        <v>0.083</v>
      </c>
      <c r="H207" s="25" t="n">
        <v>0.083</v>
      </c>
      <c r="I207" s="25" t="n">
        <v>0.083</v>
      </c>
    </row>
    <row r="208">
      <c r="A208" s="24" t="inlineStr">
        <is>
          <t>PF384A50D_6</t>
        </is>
      </c>
      <c r="B208" s="25" t="n">
        <v>0.123</v>
      </c>
      <c r="C208" s="25" t="n">
        <v>0.123</v>
      </c>
      <c r="D208" s="25" t="n">
        <v>0.123</v>
      </c>
      <c r="E208" s="25" t="n">
        <v>0.123</v>
      </c>
      <c r="F208" s="25" t="n">
        <v>0.123</v>
      </c>
      <c r="G208" s="25" t="n">
        <v>0.123</v>
      </c>
      <c r="H208" s="25" t="n">
        <v>0.123</v>
      </c>
      <c r="I208" s="25" t="n">
        <v>0.123</v>
      </c>
    </row>
    <row r="209">
      <c r="A209" s="24" t="inlineStr">
        <is>
          <t>PF149A72D_3</t>
        </is>
      </c>
      <c r="B209" s="25" t="n">
        <v>0.056</v>
      </c>
      <c r="C209" s="25" t="n">
        <v>0.056</v>
      </c>
      <c r="D209" s="25" t="n">
        <v>0.056</v>
      </c>
      <c r="E209" s="25" t="n">
        <v>0.056</v>
      </c>
      <c r="F209" s="25" t="n">
        <v>0.056</v>
      </c>
      <c r="G209" s="25" t="n">
        <v>0.056</v>
      </c>
      <c r="H209" s="25" t="n">
        <v>0.056</v>
      </c>
      <c r="I209" s="25" t="n">
        <v>0.056</v>
      </c>
    </row>
    <row r="210">
      <c r="A210" s="24" t="inlineStr">
        <is>
          <t>PF165A70D_3</t>
        </is>
      </c>
      <c r="B210" s="25" t="n">
        <v>0.057</v>
      </c>
      <c r="C210" s="25" t="n">
        <v>0.057</v>
      </c>
      <c r="D210" s="25" t="n">
        <v>0.057</v>
      </c>
      <c r="E210" s="25" t="n">
        <v>0.057</v>
      </c>
      <c r="F210" s="25" t="n">
        <v>0.057</v>
      </c>
      <c r="G210" s="25" t="n">
        <v>0.057</v>
      </c>
      <c r="H210" s="25" t="n">
        <v>0.057</v>
      </c>
      <c r="I210" s="25" t="n">
        <v>0.057</v>
      </c>
    </row>
    <row r="211">
      <c r="A211" s="24" t="inlineStr">
        <is>
          <t>PF374A50D_4</t>
        </is>
      </c>
      <c r="B211" s="25" t="n">
        <v>0.073</v>
      </c>
      <c r="C211" s="25" t="n">
        <v>0.073</v>
      </c>
      <c r="D211" s="25" t="n">
        <v>0.073</v>
      </c>
      <c r="E211" s="25" t="n">
        <v>0.073</v>
      </c>
      <c r="F211" s="25" t="n">
        <v>0.073</v>
      </c>
      <c r="G211" s="25" t="n">
        <v>0.073</v>
      </c>
      <c r="H211" s="25" t="n">
        <v>0.073</v>
      </c>
      <c r="I211" s="25" t="n">
        <v>0.073</v>
      </c>
    </row>
    <row r="212">
      <c r="A212" s="24" t="inlineStr">
        <is>
          <t>PF156A71D_3</t>
        </is>
      </c>
      <c r="B212" s="25" t="n">
        <v>0.037</v>
      </c>
      <c r="C212" s="25" t="n">
        <v>0.037</v>
      </c>
      <c r="D212" s="25" t="n">
        <v>0.037</v>
      </c>
      <c r="E212" s="25" t="n">
        <v>0.037</v>
      </c>
      <c r="F212" s="25" t="n">
        <v>0.037</v>
      </c>
      <c r="G212" s="25" t="n">
        <v>0.037</v>
      </c>
      <c r="H212" s="25" t="n">
        <v>0.037</v>
      </c>
      <c r="I212" s="25" t="n">
        <v>0.037</v>
      </c>
    </row>
    <row r="213">
      <c r="A213" s="24" t="inlineStr">
        <is>
          <t>NITROGEN</t>
        </is>
      </c>
      <c r="B213" s="25" t="n">
        <v>0.012</v>
      </c>
      <c r="C213" s="25" t="n">
        <v>0.012</v>
      </c>
      <c r="D213" s="25" t="n">
        <v>0.012</v>
      </c>
      <c r="E213" s="25" t="n">
        <v>0.012</v>
      </c>
      <c r="F213" s="25" t="n">
        <v>0.012</v>
      </c>
      <c r="G213" s="25" t="n">
        <v>0.012</v>
      </c>
      <c r="H213" s="25" t="n">
        <v>0.012</v>
      </c>
      <c r="I213" s="25" t="n">
        <v>0.012</v>
      </c>
    </row>
    <row r="214">
      <c r="A214" s="24" t="inlineStr">
        <is>
          <t>PF358A52D_3</t>
        </is>
      </c>
      <c r="B214" s="25" t="n">
        <v>0.05</v>
      </c>
      <c r="C214" s="25" t="n">
        <v>0.05</v>
      </c>
      <c r="D214" s="25" t="n">
        <v>0.05</v>
      </c>
      <c r="E214" s="25" t="n">
        <v>0.05</v>
      </c>
      <c r="F214" s="25" t="n">
        <v>0.05</v>
      </c>
      <c r="G214" s="25" t="n">
        <v>0.05</v>
      </c>
      <c r="H214" s="25" t="n">
        <v>0.05</v>
      </c>
      <c r="I214" s="25" t="n">
        <v>0.05</v>
      </c>
    </row>
    <row r="215">
      <c r="A215" s="24" t="inlineStr">
        <is>
          <t>PF335A53D_4</t>
        </is>
      </c>
      <c r="B215" s="25" t="n">
        <v>0.042</v>
      </c>
      <c r="C215" s="25" t="n">
        <v>0.042</v>
      </c>
      <c r="D215" s="25" t="n">
        <v>0.042</v>
      </c>
      <c r="E215" s="25" t="n">
        <v>0.042</v>
      </c>
      <c r="F215" s="25" t="n">
        <v>0.042</v>
      </c>
      <c r="G215" s="25" t="n">
        <v>0.042</v>
      </c>
      <c r="H215" s="25" t="n">
        <v>0.042</v>
      </c>
      <c r="I215" s="25" t="n">
        <v>0.042</v>
      </c>
    </row>
    <row r="216">
      <c r="A216" s="24" t="inlineStr">
        <is>
          <t>NH3</t>
        </is>
      </c>
      <c r="B216" s="25" t="n">
        <v>0.005</v>
      </c>
      <c r="C216" s="25" t="n">
        <v>0.005</v>
      </c>
      <c r="D216" s="25" t="n">
        <v>0.005</v>
      </c>
      <c r="E216" s="25" t="n">
        <v>0.005</v>
      </c>
      <c r="F216" s="25" t="n">
        <v>0.005</v>
      </c>
      <c r="G216" s="25" t="n">
        <v>0.005</v>
      </c>
      <c r="H216" s="25" t="n">
        <v>0.005</v>
      </c>
      <c r="I216" s="25" t="n">
        <v>0.005</v>
      </c>
    </row>
    <row r="217">
      <c r="A217" s="24" t="inlineStr">
        <is>
          <t>O2</t>
        </is>
      </c>
      <c r="B217" s="25" t="n">
        <v>0.006</v>
      </c>
      <c r="C217" s="25" t="n">
        <v>0.006</v>
      </c>
      <c r="D217" s="25" t="n">
        <v>0.006</v>
      </c>
      <c r="E217" s="25" t="n">
        <v>0.006</v>
      </c>
      <c r="F217" s="25" t="n">
        <v>0.006</v>
      </c>
      <c r="G217" s="25" t="n">
        <v>0.006</v>
      </c>
      <c r="H217" s="25" t="n">
        <v>0.006</v>
      </c>
      <c r="I217" s="25" t="n">
        <v>0.006</v>
      </c>
    </row>
    <row r="218">
      <c r="A218" s="24" t="inlineStr">
        <is>
          <t>PF388A48D_4</t>
        </is>
      </c>
      <c r="B218" s="25" t="n">
        <v>0.018</v>
      </c>
      <c r="C218" s="25" t="n">
        <v>0.018</v>
      </c>
      <c r="D218" s="25" t="n">
        <v>0.018</v>
      </c>
      <c r="E218" s="25" t="n">
        <v>0.018</v>
      </c>
      <c r="F218" s="25" t="n">
        <v>0.018</v>
      </c>
      <c r="G218" s="25" t="n">
        <v>0.018</v>
      </c>
      <c r="H218" s="25" t="n">
        <v>0.018</v>
      </c>
      <c r="I218" s="25" t="n">
        <v>0.018</v>
      </c>
    </row>
    <row r="219">
      <c r="A219" s="24" t="inlineStr">
        <is>
          <t>PF365A51D_3</t>
        </is>
      </c>
      <c r="B219" s="25" t="n">
        <v>0.01</v>
      </c>
      <c r="C219" s="25" t="n">
        <v>0.01</v>
      </c>
      <c r="D219" s="25" t="n">
        <v>0.01</v>
      </c>
      <c r="E219" s="25" t="n">
        <v>0.01</v>
      </c>
      <c r="F219" s="25" t="n">
        <v>0.01</v>
      </c>
      <c r="G219" s="25" t="n">
        <v>0.01</v>
      </c>
      <c r="H219" s="25" t="n">
        <v>0.01</v>
      </c>
      <c r="I219" s="25" t="n">
        <v>0.01</v>
      </c>
    </row>
    <row r="220">
      <c r="A220" s="24" t="inlineStr">
        <is>
          <t>CO2</t>
        </is>
      </c>
      <c r="B220" s="25" t="n">
        <v>0.003</v>
      </c>
      <c r="C220" s="25" t="n">
        <v>0.003</v>
      </c>
      <c r="D220" s="25" t="n">
        <v>0.003</v>
      </c>
      <c r="E220" s="25" t="n">
        <v>0.003</v>
      </c>
      <c r="F220" s="25" t="n">
        <v>0.003</v>
      </c>
      <c r="G220" s="25" t="n">
        <v>0.003</v>
      </c>
      <c r="H220" s="25" t="n">
        <v>0.003</v>
      </c>
      <c r="I220" s="25" t="n">
        <v>0.003</v>
      </c>
    </row>
    <row r="221">
      <c r="A221" s="24" t="inlineStr">
        <is>
          <t>PF409A49D_6</t>
        </is>
      </c>
      <c r="B221" s="25" t="n">
        <v>0.005</v>
      </c>
      <c r="C221" s="25" t="n">
        <v>0.005</v>
      </c>
      <c r="D221" s="25" t="n">
        <v>0.005</v>
      </c>
      <c r="E221" s="25" t="n">
        <v>0.005</v>
      </c>
      <c r="F221" s="25" t="n">
        <v>0.005</v>
      </c>
      <c r="G221" s="25" t="n">
        <v>0.005</v>
      </c>
      <c r="H221" s="25" t="n">
        <v>0.005</v>
      </c>
      <c r="I221" s="25" t="n">
        <v>0.005</v>
      </c>
    </row>
    <row r="222">
      <c r="A222" s="24" t="inlineStr">
        <is>
          <t>PF403A47D_4</t>
        </is>
      </c>
      <c r="B222" s="25" t="n">
        <v>0.004</v>
      </c>
      <c r="C222" s="25" t="n">
        <v>0.004</v>
      </c>
      <c r="D222" s="25" t="n">
        <v>0.004</v>
      </c>
      <c r="E222" s="25" t="n">
        <v>0.004</v>
      </c>
      <c r="F222" s="25" t="n">
        <v>0.004</v>
      </c>
      <c r="G222" s="25" t="n">
        <v>0.004</v>
      </c>
      <c r="H222" s="25" t="n">
        <v>0.004</v>
      </c>
      <c r="I222" s="25" t="n">
        <v>0.004</v>
      </c>
    </row>
    <row r="223">
      <c r="A223" s="24" t="inlineStr">
        <is>
          <t>CO</t>
        </is>
      </c>
      <c r="B223" s="25" t="n">
        <v>0.001</v>
      </c>
      <c r="C223" s="25" t="n">
        <v>0.001</v>
      </c>
      <c r="D223" s="25" t="n">
        <v>0.001</v>
      </c>
      <c r="E223" s="25" t="n">
        <v>0.001</v>
      </c>
      <c r="F223" s="25" t="n">
        <v>0.001</v>
      </c>
      <c r="G223" s="25" t="n">
        <v>0.001</v>
      </c>
      <c r="H223" s="25" t="n">
        <v>0.001</v>
      </c>
      <c r="I223" s="25" t="n">
        <v>0.001</v>
      </c>
    </row>
    <row r="224">
      <c r="A224" s="24" t="inlineStr">
        <is>
          <t>PF142A73D_3</t>
        </is>
      </c>
      <c r="B224" s="25" t="n">
        <v>0.001</v>
      </c>
      <c r="C224" s="25" t="n">
        <v>0.001</v>
      </c>
      <c r="D224" s="25" t="n">
        <v>0.001</v>
      </c>
      <c r="E224" s="25" t="n">
        <v>0.001</v>
      </c>
      <c r="F224" s="25" t="n">
        <v>0.001</v>
      </c>
      <c r="G224" s="25" t="n">
        <v>0.001</v>
      </c>
      <c r="H224" s="25" t="n">
        <v>0.001</v>
      </c>
      <c r="I224" s="25" t="n">
        <v>0.001</v>
      </c>
    </row>
    <row r="225">
      <c r="A225" s="24" t="inlineStr">
        <is>
          <t>PF416A46D_4</t>
        </is>
      </c>
      <c r="B225" s="25" t="n">
        <v>0.001</v>
      </c>
      <c r="C225" s="25" t="n">
        <v>0.001</v>
      </c>
      <c r="D225" s="25" t="n">
        <v>0.001</v>
      </c>
      <c r="E225" s="25" t="n">
        <v>0.001</v>
      </c>
      <c r="F225" s="25" t="n">
        <v>0.001</v>
      </c>
      <c r="G225" s="25" t="n">
        <v>0.001</v>
      </c>
      <c r="H225" s="25" t="n">
        <v>0.001</v>
      </c>
      <c r="I225" s="25" t="n">
        <v>0.001</v>
      </c>
    </row>
    <row r="226">
      <c r="A226" s="24" t="inlineStr">
        <is>
          <t>PF434A47D_6</t>
        </is>
      </c>
      <c r="B226" s="25" t="n">
        <v>0</v>
      </c>
      <c r="C226" s="25" t="n">
        <v>0</v>
      </c>
      <c r="D226" s="25" t="n">
        <v>0</v>
      </c>
      <c r="E226" s="25" t="n">
        <v>0</v>
      </c>
      <c r="F226" s="25" t="n">
        <v>0</v>
      </c>
      <c r="G226" s="25" t="n">
        <v>0</v>
      </c>
      <c r="H226" s="25" t="n">
        <v>0</v>
      </c>
      <c r="I226" s="25" t="n">
        <v>0</v>
      </c>
    </row>
    <row r="227">
      <c r="A227" s="24" t="inlineStr">
        <is>
          <t>PF431A45D_4</t>
        </is>
      </c>
      <c r="B227" s="25" t="n">
        <v>0</v>
      </c>
      <c r="C227" s="25" t="n">
        <v>0</v>
      </c>
      <c r="D227" s="25" t="n">
        <v>0</v>
      </c>
      <c r="E227" s="25" t="n">
        <v>0</v>
      </c>
      <c r="F227" s="25" t="n">
        <v>0</v>
      </c>
      <c r="G227" s="25" t="n">
        <v>0</v>
      </c>
      <c r="H227" s="25" t="n">
        <v>0</v>
      </c>
      <c r="I227" s="25" t="n">
        <v>0</v>
      </c>
    </row>
    <row r="228">
      <c r="A228" s="24" t="inlineStr">
        <is>
          <t>HCL</t>
        </is>
      </c>
      <c r="B228" s="25" t="n">
        <v>0</v>
      </c>
      <c r="C228" s="25" t="n">
        <v>0</v>
      </c>
      <c r="D228" s="25" t="n">
        <v>0</v>
      </c>
      <c r="E228" s="25" t="n">
        <v>0</v>
      </c>
      <c r="F228" s="25" t="n">
        <v>0</v>
      </c>
      <c r="G228" s="25" t="n">
        <v>0</v>
      </c>
      <c r="H228" s="25" t="n">
        <v>0</v>
      </c>
      <c r="I228" s="25" t="n">
        <v>0</v>
      </c>
    </row>
    <row r="229">
      <c r="A229" s="24" t="inlineStr">
        <is>
          <t>PF445A44D_4</t>
        </is>
      </c>
      <c r="B229" s="25" t="n">
        <v>0</v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</row>
    <row r="230">
      <c r="A230" s="24" t="inlineStr">
        <is>
          <t>PF459A45D_6</t>
        </is>
      </c>
      <c r="B230" s="25" t="n">
        <v>0</v>
      </c>
      <c r="C230" s="25" t="n">
        <v>0</v>
      </c>
      <c r="D230" s="25" t="n">
        <v>0</v>
      </c>
      <c r="E230" s="25" t="n">
        <v>0</v>
      </c>
      <c r="F230" s="25" t="n">
        <v>0</v>
      </c>
      <c r="G230" s="25" t="n">
        <v>0</v>
      </c>
      <c r="H230" s="25" t="n">
        <v>0</v>
      </c>
      <c r="I230" s="25" t="n">
        <v>0</v>
      </c>
    </row>
    <row r="231">
      <c r="A231" s="24" t="inlineStr">
        <is>
          <t>PF459A43D_4</t>
        </is>
      </c>
      <c r="B231" s="25" t="n">
        <v>0</v>
      </c>
      <c r="C231" s="25" t="n">
        <v>0</v>
      </c>
      <c r="D231" s="25" t="n">
        <v>0</v>
      </c>
      <c r="E231" s="25" t="n">
        <v>0</v>
      </c>
      <c r="F231" s="25" t="n">
        <v>0</v>
      </c>
      <c r="G231" s="25" t="n">
        <v>0</v>
      </c>
      <c r="H231" s="25" t="n">
        <v>0</v>
      </c>
      <c r="I231" s="25" t="n">
        <v>0</v>
      </c>
    </row>
    <row r="232">
      <c r="A232" s="24" t="inlineStr">
        <is>
          <t>PF474A42D_4</t>
        </is>
      </c>
      <c r="B232" s="25" t="n">
        <v>0</v>
      </c>
      <c r="C232" s="25" t="n">
        <v>0</v>
      </c>
      <c r="D232" s="25" t="n">
        <v>0</v>
      </c>
      <c r="E232" s="25" t="n">
        <v>0</v>
      </c>
      <c r="F232" s="25" t="n">
        <v>0</v>
      </c>
      <c r="G232" s="25" t="n">
        <v>0</v>
      </c>
      <c r="H232" s="25" t="n">
        <v>0</v>
      </c>
      <c r="I232" s="25" t="n">
        <v>0</v>
      </c>
    </row>
    <row r="233">
      <c r="A233" s="24" t="inlineStr">
        <is>
          <t>PF485A44D_6</t>
        </is>
      </c>
      <c r="B233" s="25" t="n">
        <v>0</v>
      </c>
      <c r="C233" s="25" t="n">
        <v>0</v>
      </c>
      <c r="D233" s="25" t="n">
        <v>0</v>
      </c>
      <c r="E233" s="25" t="n">
        <v>0</v>
      </c>
      <c r="F233" s="25" t="n">
        <v>0</v>
      </c>
      <c r="G233" s="25" t="n">
        <v>0</v>
      </c>
      <c r="H233" s="25" t="n">
        <v>0</v>
      </c>
      <c r="I233" s="25" t="n">
        <v>0</v>
      </c>
    </row>
    <row r="234">
      <c r="A234" s="24" t="inlineStr">
        <is>
          <t>PF487A41D_4</t>
        </is>
      </c>
      <c r="B234" s="25" t="n">
        <v>0</v>
      </c>
      <c r="C234" s="25" t="n">
        <v>0</v>
      </c>
      <c r="D234" s="25" t="n">
        <v>0</v>
      </c>
      <c r="E234" s="25" t="n">
        <v>0</v>
      </c>
      <c r="F234" s="25" t="n">
        <v>0</v>
      </c>
      <c r="G234" s="25" t="n">
        <v>0</v>
      </c>
      <c r="H234" s="25" t="n">
        <v>0</v>
      </c>
      <c r="I234" s="25" t="n">
        <v>0</v>
      </c>
    </row>
    <row r="235">
      <c r="A235" s="24" t="inlineStr">
        <is>
          <t>CYCLOPENTANE</t>
        </is>
      </c>
      <c r="B235" s="25" t="n">
        <v>0</v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0</v>
      </c>
      <c r="I235" s="25" t="n">
        <v>0</v>
      </c>
    </row>
    <row r="236">
      <c r="A236" s="24" t="inlineStr">
        <is>
          <t>PF510A42D_6</t>
        </is>
      </c>
      <c r="B236" s="25" t="n">
        <v>0</v>
      </c>
      <c r="C236" s="25" t="n">
        <v>0</v>
      </c>
      <c r="D236" s="25" t="n">
        <v>0</v>
      </c>
      <c r="E236" s="25" t="n">
        <v>0</v>
      </c>
      <c r="F236" s="25" t="n">
        <v>0</v>
      </c>
      <c r="G236" s="25" t="n">
        <v>0</v>
      </c>
      <c r="H236" s="25" t="n">
        <v>0</v>
      </c>
      <c r="I236" s="25" t="n">
        <v>0</v>
      </c>
    </row>
    <row r="237">
      <c r="A237" s="24" t="inlineStr">
        <is>
          <t>PF502A40D_4</t>
        </is>
      </c>
      <c r="B237" s="25" t="n">
        <v>0</v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0</v>
      </c>
      <c r="I237" s="25" t="n">
        <v>0</v>
      </c>
    </row>
    <row r="238">
      <c r="A238" s="26" t="inlineStr">
        <is>
          <t>TOTAL (mass %)</t>
        </is>
      </c>
      <c r="B238" s="27" t="n">
        <v>100</v>
      </c>
      <c r="C238" s="27" t="n">
        <v>100</v>
      </c>
      <c r="D238" s="27" t="n">
        <v>100</v>
      </c>
      <c r="E238" s="27" t="n">
        <v>100</v>
      </c>
      <c r="F238" s="27" t="n">
        <v>100</v>
      </c>
      <c r="G238" s="27" t="n">
        <v>100</v>
      </c>
      <c r="H238" s="27" t="n">
        <v>100</v>
      </c>
      <c r="I238" s="27" t="n">
        <v>100</v>
      </c>
    </row>
    <row r="240">
      <c r="A240" s="11" t="inlineStr">
        <is>
          <t>MOLE FRACTION  (mol %)</t>
        </is>
      </c>
    </row>
    <row r="241" ht="26" customHeight="1">
      <c r="A241" s="21" t="inlineStr">
        <is>
          <t>Component</t>
        </is>
      </c>
      <c r="B241" s="22" t="inlineStr">
        <is>
          <t>1 · ENT-01</t>
        </is>
      </c>
      <c r="C241" s="22" t="inlineStr">
        <is>
          <t>2 · P-001</t>
        </is>
      </c>
      <c r="D241" s="22" t="inlineStr">
        <is>
          <t>3 · EL-001</t>
        </is>
      </c>
      <c r="E241" s="22" t="inlineStr">
        <is>
          <t>4 · TEE-01</t>
        </is>
      </c>
      <c r="F241" s="22" t="inlineStr">
        <is>
          <t>5 · PSV-01</t>
        </is>
      </c>
      <c r="G241" s="23" t="inlineStr">
        <is>
          <t>1 · P-002</t>
        </is>
      </c>
      <c r="H241" s="23" t="inlineStr">
        <is>
          <t>2 · EL-002</t>
        </is>
      </c>
      <c r="I241" s="23" t="inlineStr">
        <is>
          <t>3 · VLV-01</t>
        </is>
      </c>
    </row>
    <row r="242">
      <c r="A242" s="24" t="inlineStr">
        <is>
          <t>PROPANE</t>
        </is>
      </c>
      <c r="B242" s="25" t="n">
        <v>9.537000000000001</v>
      </c>
      <c r="C242" s="25" t="n">
        <v>9.537000000000001</v>
      </c>
      <c r="D242" s="25" t="n">
        <v>9.537000000000001</v>
      </c>
      <c r="E242" s="25" t="n">
        <v>9.537000000000001</v>
      </c>
      <c r="F242" s="25" t="n">
        <v>9.537000000000001</v>
      </c>
      <c r="G242" s="25" t="n">
        <v>9.537000000000001</v>
      </c>
      <c r="H242" s="25" t="n">
        <v>9.537000000000001</v>
      </c>
      <c r="I242" s="25" t="n">
        <v>9.537000000000001</v>
      </c>
    </row>
    <row r="243">
      <c r="A243" s="24" t="inlineStr">
        <is>
          <t>NC4</t>
        </is>
      </c>
      <c r="B243" s="25" t="n">
        <v>8.798999999999999</v>
      </c>
      <c r="C243" s="25" t="n">
        <v>8.798999999999999</v>
      </c>
      <c r="D243" s="25" t="n">
        <v>8.798999999999999</v>
      </c>
      <c r="E243" s="25" t="n">
        <v>8.798999999999999</v>
      </c>
      <c r="F243" s="25" t="n">
        <v>8.798999999999999</v>
      </c>
      <c r="G243" s="25" t="n">
        <v>8.798999999999999</v>
      </c>
      <c r="H243" s="25" t="n">
        <v>8.798999999999999</v>
      </c>
      <c r="I243" s="25" t="n">
        <v>8.798999999999999</v>
      </c>
    </row>
    <row r="244">
      <c r="A244" s="24" t="inlineStr">
        <is>
          <t>PF208A66D_6</t>
        </is>
      </c>
      <c r="B244" s="25" t="n">
        <v>8.218999999999999</v>
      </c>
      <c r="C244" s="25" t="n">
        <v>8.218999999999999</v>
      </c>
      <c r="D244" s="25" t="n">
        <v>8.218999999999999</v>
      </c>
      <c r="E244" s="25" t="n">
        <v>8.218999999999999</v>
      </c>
      <c r="F244" s="25" t="n">
        <v>8.218999999999999</v>
      </c>
      <c r="G244" s="25" t="n">
        <v>8.218999999999999</v>
      </c>
      <c r="H244" s="25" t="n">
        <v>8.218999999999999</v>
      </c>
      <c r="I244" s="25" t="n">
        <v>8.218999999999999</v>
      </c>
    </row>
    <row r="245">
      <c r="A245" s="24" t="inlineStr">
        <is>
          <t>PF231A63D_6</t>
        </is>
      </c>
      <c r="B245" s="25" t="n">
        <v>7.115</v>
      </c>
      <c r="C245" s="25" t="n">
        <v>7.115</v>
      </c>
      <c r="D245" s="25" t="n">
        <v>7.115</v>
      </c>
      <c r="E245" s="25" t="n">
        <v>7.115</v>
      </c>
      <c r="F245" s="25" t="n">
        <v>7.115</v>
      </c>
      <c r="G245" s="25" t="n">
        <v>7.115</v>
      </c>
      <c r="H245" s="25" t="n">
        <v>7.115</v>
      </c>
      <c r="I245" s="25" t="n">
        <v>7.115</v>
      </c>
    </row>
    <row r="246">
      <c r="A246" s="24" t="inlineStr">
        <is>
          <t>PF258A61D_6</t>
        </is>
      </c>
      <c r="B246" s="25" t="n">
        <v>6.104</v>
      </c>
      <c r="C246" s="25" t="n">
        <v>6.104</v>
      </c>
      <c r="D246" s="25" t="n">
        <v>6.104</v>
      </c>
      <c r="E246" s="25" t="n">
        <v>6.104</v>
      </c>
      <c r="F246" s="25" t="n">
        <v>6.104</v>
      </c>
      <c r="G246" s="25" t="n">
        <v>6.104</v>
      </c>
      <c r="H246" s="25" t="n">
        <v>6.104</v>
      </c>
      <c r="I246" s="25" t="n">
        <v>6.104</v>
      </c>
    </row>
    <row r="247">
      <c r="A247" s="24" t="inlineStr">
        <is>
          <t>PF183A70D_6</t>
        </is>
      </c>
      <c r="B247" s="25" t="n">
        <v>5.785</v>
      </c>
      <c r="C247" s="25" t="n">
        <v>5.785</v>
      </c>
      <c r="D247" s="25" t="n">
        <v>5.785</v>
      </c>
      <c r="E247" s="25" t="n">
        <v>5.785</v>
      </c>
      <c r="F247" s="25" t="n">
        <v>5.785</v>
      </c>
      <c r="G247" s="25" t="n">
        <v>5.785</v>
      </c>
      <c r="H247" s="25" t="n">
        <v>5.785</v>
      </c>
      <c r="I247" s="25" t="n">
        <v>5.785</v>
      </c>
    </row>
    <row r="248">
      <c r="A248" s="24" t="inlineStr">
        <is>
          <t>ETHANE</t>
        </is>
      </c>
      <c r="B248" s="25" t="n">
        <v>5.57</v>
      </c>
      <c r="C248" s="25" t="n">
        <v>5.57</v>
      </c>
      <c r="D248" s="25" t="n">
        <v>5.57</v>
      </c>
      <c r="E248" s="25" t="n">
        <v>5.57</v>
      </c>
      <c r="F248" s="25" t="n">
        <v>5.57</v>
      </c>
      <c r="G248" s="25" t="n">
        <v>5.57</v>
      </c>
      <c r="H248" s="25" t="n">
        <v>5.57</v>
      </c>
      <c r="I248" s="25" t="n">
        <v>5.57</v>
      </c>
    </row>
    <row r="249">
      <c r="A249" s="24" t="inlineStr">
        <is>
          <t>NC5</t>
        </is>
      </c>
      <c r="B249" s="25" t="n">
        <v>5.552</v>
      </c>
      <c r="C249" s="25" t="n">
        <v>5.552</v>
      </c>
      <c r="D249" s="25" t="n">
        <v>5.552</v>
      </c>
      <c r="E249" s="25" t="n">
        <v>5.552</v>
      </c>
      <c r="F249" s="25" t="n">
        <v>5.552</v>
      </c>
      <c r="G249" s="25" t="n">
        <v>5.552</v>
      </c>
      <c r="H249" s="25" t="n">
        <v>5.552</v>
      </c>
      <c r="I249" s="25" t="n">
        <v>5.552</v>
      </c>
    </row>
    <row r="250">
      <c r="A250" s="24" t="inlineStr">
        <is>
          <t>PF282A58D_6</t>
        </is>
      </c>
      <c r="B250" s="25" t="n">
        <v>5.471</v>
      </c>
      <c r="C250" s="25" t="n">
        <v>5.471</v>
      </c>
      <c r="D250" s="25" t="n">
        <v>5.471</v>
      </c>
      <c r="E250" s="25" t="n">
        <v>5.471</v>
      </c>
      <c r="F250" s="25" t="n">
        <v>5.471</v>
      </c>
      <c r="G250" s="25" t="n">
        <v>5.471</v>
      </c>
      <c r="H250" s="25" t="n">
        <v>5.471</v>
      </c>
      <c r="I250" s="25" t="n">
        <v>5.471</v>
      </c>
    </row>
    <row r="251">
      <c r="A251" s="24" t="inlineStr">
        <is>
          <t>IC4</t>
        </is>
      </c>
      <c r="B251" s="25" t="n">
        <v>5.186</v>
      </c>
      <c r="C251" s="25" t="n">
        <v>5.186</v>
      </c>
      <c r="D251" s="25" t="n">
        <v>5.186</v>
      </c>
      <c r="E251" s="25" t="n">
        <v>5.186</v>
      </c>
      <c r="F251" s="25" t="n">
        <v>5.186</v>
      </c>
      <c r="G251" s="25" t="n">
        <v>5.186</v>
      </c>
      <c r="H251" s="25" t="n">
        <v>5.186</v>
      </c>
      <c r="I251" s="25" t="n">
        <v>5.186</v>
      </c>
    </row>
    <row r="252">
      <c r="A252" s="24" t="inlineStr">
        <is>
          <t>IC5</t>
        </is>
      </c>
      <c r="B252" s="25" t="n">
        <v>4.324</v>
      </c>
      <c r="C252" s="25" t="n">
        <v>4.324</v>
      </c>
      <c r="D252" s="25" t="n">
        <v>4.324</v>
      </c>
      <c r="E252" s="25" t="n">
        <v>4.324</v>
      </c>
      <c r="F252" s="25" t="n">
        <v>4.324</v>
      </c>
      <c r="G252" s="25" t="n">
        <v>4.324</v>
      </c>
      <c r="H252" s="25" t="n">
        <v>4.324</v>
      </c>
      <c r="I252" s="25" t="n">
        <v>4.324</v>
      </c>
    </row>
    <row r="253">
      <c r="A253" s="24" t="inlineStr">
        <is>
          <t>PF129A74D_6</t>
        </is>
      </c>
      <c r="B253" s="25" t="n">
        <v>3.946</v>
      </c>
      <c r="C253" s="25" t="n">
        <v>3.946</v>
      </c>
      <c r="D253" s="25" t="n">
        <v>3.946</v>
      </c>
      <c r="E253" s="25" t="n">
        <v>3.946</v>
      </c>
      <c r="F253" s="25" t="n">
        <v>3.946</v>
      </c>
      <c r="G253" s="25" t="n">
        <v>3.946</v>
      </c>
      <c r="H253" s="25" t="n">
        <v>3.946</v>
      </c>
      <c r="I253" s="25" t="n">
        <v>3.946</v>
      </c>
    </row>
    <row r="254">
      <c r="A254" s="24" t="inlineStr">
        <is>
          <t>H2S</t>
        </is>
      </c>
      <c r="B254" s="25" t="n">
        <v>3.9</v>
      </c>
      <c r="C254" s="25" t="n">
        <v>3.9</v>
      </c>
      <c r="D254" s="25" t="n">
        <v>3.9</v>
      </c>
      <c r="E254" s="25" t="n">
        <v>3.9</v>
      </c>
      <c r="F254" s="25" t="n">
        <v>3.9</v>
      </c>
      <c r="G254" s="25" t="n">
        <v>3.9</v>
      </c>
      <c r="H254" s="25" t="n">
        <v>3.9</v>
      </c>
      <c r="I254" s="25" t="n">
        <v>3.9</v>
      </c>
    </row>
    <row r="255">
      <c r="A255" s="24" t="inlineStr">
        <is>
          <t>PF158A72D_6</t>
        </is>
      </c>
      <c r="B255" s="25" t="n">
        <v>3.776</v>
      </c>
      <c r="C255" s="25" t="n">
        <v>3.776</v>
      </c>
      <c r="D255" s="25" t="n">
        <v>3.776</v>
      </c>
      <c r="E255" s="25" t="n">
        <v>3.776</v>
      </c>
      <c r="F255" s="25" t="n">
        <v>3.776</v>
      </c>
      <c r="G255" s="25" t="n">
        <v>3.776</v>
      </c>
      <c r="H255" s="25" t="n">
        <v>3.776</v>
      </c>
      <c r="I255" s="25" t="n">
        <v>3.776</v>
      </c>
    </row>
    <row r="256">
      <c r="A256" s="24" t="inlineStr">
        <is>
          <t>H2</t>
        </is>
      </c>
      <c r="B256" s="25" t="n">
        <v>3.525</v>
      </c>
      <c r="C256" s="25" t="n">
        <v>3.525</v>
      </c>
      <c r="D256" s="25" t="n">
        <v>3.525</v>
      </c>
      <c r="E256" s="25" t="n">
        <v>3.525</v>
      </c>
      <c r="F256" s="25" t="n">
        <v>3.525</v>
      </c>
      <c r="G256" s="25" t="n">
        <v>3.525</v>
      </c>
      <c r="H256" s="25" t="n">
        <v>3.525</v>
      </c>
      <c r="I256" s="25" t="n">
        <v>3.525</v>
      </c>
    </row>
    <row r="257">
      <c r="A257" s="24" t="inlineStr">
        <is>
          <t>PF308A56D_6</t>
        </is>
      </c>
      <c r="B257" s="25" t="n">
        <v>2.876</v>
      </c>
      <c r="C257" s="25" t="n">
        <v>2.876</v>
      </c>
      <c r="D257" s="25" t="n">
        <v>2.876</v>
      </c>
      <c r="E257" s="25" t="n">
        <v>2.876</v>
      </c>
      <c r="F257" s="25" t="n">
        <v>2.876</v>
      </c>
      <c r="G257" s="25" t="n">
        <v>2.876</v>
      </c>
      <c r="H257" s="25" t="n">
        <v>2.876</v>
      </c>
      <c r="I257" s="25" t="n">
        <v>2.876</v>
      </c>
    </row>
    <row r="258">
      <c r="A258" s="24" t="inlineStr">
        <is>
          <t>METHANE</t>
        </is>
      </c>
      <c r="B258" s="25" t="n">
        <v>2.657</v>
      </c>
      <c r="C258" s="25" t="n">
        <v>2.657</v>
      </c>
      <c r="D258" s="25" t="n">
        <v>2.657</v>
      </c>
      <c r="E258" s="25" t="n">
        <v>2.657</v>
      </c>
      <c r="F258" s="25" t="n">
        <v>2.657</v>
      </c>
      <c r="G258" s="25" t="n">
        <v>2.657</v>
      </c>
      <c r="H258" s="25" t="n">
        <v>2.657</v>
      </c>
      <c r="I258" s="25" t="n">
        <v>2.657</v>
      </c>
    </row>
    <row r="259">
      <c r="A259" s="24" t="inlineStr">
        <is>
          <t>PF333A55D_6</t>
        </is>
      </c>
      <c r="B259" s="25" t="n">
        <v>1.93</v>
      </c>
      <c r="C259" s="25" t="n">
        <v>1.93</v>
      </c>
      <c r="D259" s="25" t="n">
        <v>1.93</v>
      </c>
      <c r="E259" s="25" t="n">
        <v>1.93</v>
      </c>
      <c r="F259" s="25" t="n">
        <v>1.93</v>
      </c>
      <c r="G259" s="25" t="n">
        <v>1.93</v>
      </c>
      <c r="H259" s="25" t="n">
        <v>1.93</v>
      </c>
      <c r="I259" s="25" t="n">
        <v>1.93</v>
      </c>
    </row>
    <row r="260">
      <c r="A260" s="24" t="inlineStr">
        <is>
          <t>PF359A53D_6</t>
        </is>
      </c>
      <c r="B260" s="25" t="n">
        <v>0.735</v>
      </c>
      <c r="C260" s="25" t="n">
        <v>0.735</v>
      </c>
      <c r="D260" s="25" t="n">
        <v>0.735</v>
      </c>
      <c r="E260" s="25" t="n">
        <v>0.735</v>
      </c>
      <c r="F260" s="25" t="n">
        <v>0.735</v>
      </c>
      <c r="G260" s="25" t="n">
        <v>0.735</v>
      </c>
      <c r="H260" s="25" t="n">
        <v>0.735</v>
      </c>
      <c r="I260" s="25" t="n">
        <v>0.735</v>
      </c>
    </row>
    <row r="261">
      <c r="A261" s="24" t="inlineStr">
        <is>
          <t>PF115A77D_6</t>
        </is>
      </c>
      <c r="B261" s="25" t="n">
        <v>0.5629999999999999</v>
      </c>
      <c r="C261" s="25" t="n">
        <v>0.5629999999999999</v>
      </c>
      <c r="D261" s="25" t="n">
        <v>0.5629999999999999</v>
      </c>
      <c r="E261" s="25" t="n">
        <v>0.5629999999999999</v>
      </c>
      <c r="F261" s="25" t="n">
        <v>0.5629999999999999</v>
      </c>
      <c r="G261" s="25" t="n">
        <v>0.5629999999999999</v>
      </c>
      <c r="H261" s="25" t="n">
        <v>0.5629999999999999</v>
      </c>
      <c r="I261" s="25" t="n">
        <v>0.5629999999999999</v>
      </c>
    </row>
    <row r="262">
      <c r="A262" s="24" t="inlineStr">
        <is>
          <t>H2O</t>
        </is>
      </c>
      <c r="B262" s="25" t="n">
        <v>0.409</v>
      </c>
      <c r="C262" s="25" t="n">
        <v>0.409</v>
      </c>
      <c r="D262" s="25" t="n">
        <v>0.409</v>
      </c>
      <c r="E262" s="25" t="n">
        <v>0.409</v>
      </c>
      <c r="F262" s="25" t="n">
        <v>0.409</v>
      </c>
      <c r="G262" s="25" t="n">
        <v>0.409</v>
      </c>
      <c r="H262" s="25" t="n">
        <v>0.409</v>
      </c>
      <c r="I262" s="25" t="n">
        <v>0.409</v>
      </c>
    </row>
    <row r="263">
      <c r="A263" s="24" t="inlineStr">
        <is>
          <t>PF307A56D_3</t>
        </is>
      </c>
      <c r="B263" s="25" t="n">
        <v>0.301</v>
      </c>
      <c r="C263" s="25" t="n">
        <v>0.301</v>
      </c>
      <c r="D263" s="25" t="n">
        <v>0.301</v>
      </c>
      <c r="E263" s="25" t="n">
        <v>0.301</v>
      </c>
      <c r="F263" s="25" t="n">
        <v>0.301</v>
      </c>
      <c r="G263" s="25" t="n">
        <v>0.301</v>
      </c>
      <c r="H263" s="25" t="n">
        <v>0.301</v>
      </c>
      <c r="I263" s="25" t="n">
        <v>0.301</v>
      </c>
    </row>
    <row r="264">
      <c r="A264" s="24" t="inlineStr">
        <is>
          <t>PF257A60D_3</t>
        </is>
      </c>
      <c r="B264" s="25" t="n">
        <v>0.267</v>
      </c>
      <c r="C264" s="25" t="n">
        <v>0.267</v>
      </c>
      <c r="D264" s="25" t="n">
        <v>0.267</v>
      </c>
      <c r="E264" s="25" t="n">
        <v>0.267</v>
      </c>
      <c r="F264" s="25" t="n">
        <v>0.267</v>
      </c>
      <c r="G264" s="25" t="n">
        <v>0.267</v>
      </c>
      <c r="H264" s="25" t="n">
        <v>0.267</v>
      </c>
      <c r="I264" s="25" t="n">
        <v>0.267</v>
      </c>
    </row>
    <row r="265">
      <c r="A265" s="24" t="inlineStr">
        <is>
          <t>PF249A61D_3</t>
        </is>
      </c>
      <c r="B265" s="25" t="n">
        <v>0.265</v>
      </c>
      <c r="C265" s="25" t="n">
        <v>0.265</v>
      </c>
      <c r="D265" s="25" t="n">
        <v>0.265</v>
      </c>
      <c r="E265" s="25" t="n">
        <v>0.265</v>
      </c>
      <c r="F265" s="25" t="n">
        <v>0.265</v>
      </c>
      <c r="G265" s="25" t="n">
        <v>0.265</v>
      </c>
      <c r="H265" s="25" t="n">
        <v>0.265</v>
      </c>
      <c r="I265" s="25" t="n">
        <v>0.265</v>
      </c>
    </row>
    <row r="266">
      <c r="A266" s="24" t="inlineStr">
        <is>
          <t>PF206A65D_3</t>
        </is>
      </c>
      <c r="B266" s="25" t="n">
        <v>0.26</v>
      </c>
      <c r="C266" s="25" t="n">
        <v>0.26</v>
      </c>
      <c r="D266" s="25" t="n">
        <v>0.26</v>
      </c>
      <c r="E266" s="25" t="n">
        <v>0.26</v>
      </c>
      <c r="F266" s="25" t="n">
        <v>0.26</v>
      </c>
      <c r="G266" s="25" t="n">
        <v>0.26</v>
      </c>
      <c r="H266" s="25" t="n">
        <v>0.26</v>
      </c>
      <c r="I266" s="25" t="n">
        <v>0.26</v>
      </c>
    </row>
    <row r="267">
      <c r="A267" s="24" t="inlineStr">
        <is>
          <t>PF199A66D_3</t>
        </is>
      </c>
      <c r="B267" s="25" t="n">
        <v>0.239</v>
      </c>
      <c r="C267" s="25" t="n">
        <v>0.239</v>
      </c>
      <c r="D267" s="25" t="n">
        <v>0.239</v>
      </c>
      <c r="E267" s="25" t="n">
        <v>0.239</v>
      </c>
      <c r="F267" s="25" t="n">
        <v>0.239</v>
      </c>
      <c r="G267" s="25" t="n">
        <v>0.239</v>
      </c>
      <c r="H267" s="25" t="n">
        <v>0.239</v>
      </c>
      <c r="I267" s="25" t="n">
        <v>0.239</v>
      </c>
    </row>
    <row r="268">
      <c r="A268" s="24" t="inlineStr">
        <is>
          <t>PF343A53D_3</t>
        </is>
      </c>
      <c r="B268" s="25" t="n">
        <v>0.215</v>
      </c>
      <c r="C268" s="25" t="n">
        <v>0.215</v>
      </c>
      <c r="D268" s="25" t="n">
        <v>0.215</v>
      </c>
      <c r="E268" s="25" t="n">
        <v>0.215</v>
      </c>
      <c r="F268" s="25" t="n">
        <v>0.215</v>
      </c>
      <c r="G268" s="25" t="n">
        <v>0.215</v>
      </c>
      <c r="H268" s="25" t="n">
        <v>0.215</v>
      </c>
      <c r="I268" s="25" t="n">
        <v>0.215</v>
      </c>
    </row>
    <row r="269">
      <c r="A269" s="24" t="inlineStr">
        <is>
          <t>PF344A51D_4</t>
        </is>
      </c>
      <c r="B269" s="25" t="n">
        <v>0.2</v>
      </c>
      <c r="C269" s="25" t="n">
        <v>0.2</v>
      </c>
      <c r="D269" s="25" t="n">
        <v>0.2</v>
      </c>
      <c r="E269" s="25" t="n">
        <v>0.2</v>
      </c>
      <c r="F269" s="25" t="n">
        <v>0.2</v>
      </c>
      <c r="G269" s="25" t="n">
        <v>0.2</v>
      </c>
      <c r="H269" s="25" t="n">
        <v>0.2</v>
      </c>
      <c r="I269" s="25" t="n">
        <v>0.2</v>
      </c>
    </row>
    <row r="270">
      <c r="A270" s="24" t="inlineStr">
        <is>
          <t>PF241A62D_3</t>
        </is>
      </c>
      <c r="B270" s="25" t="n">
        <v>0.191</v>
      </c>
      <c r="C270" s="25" t="n">
        <v>0.191</v>
      </c>
      <c r="D270" s="25" t="n">
        <v>0.191</v>
      </c>
      <c r="E270" s="25" t="n">
        <v>0.191</v>
      </c>
      <c r="F270" s="25" t="n">
        <v>0.191</v>
      </c>
      <c r="G270" s="25" t="n">
        <v>0.191</v>
      </c>
      <c r="H270" s="25" t="n">
        <v>0.191</v>
      </c>
      <c r="I270" s="25" t="n">
        <v>0.191</v>
      </c>
    </row>
    <row r="271">
      <c r="A271" s="24" t="inlineStr">
        <is>
          <t>PF232A63D_3</t>
        </is>
      </c>
      <c r="B271" s="25" t="n">
        <v>0.173</v>
      </c>
      <c r="C271" s="25" t="n">
        <v>0.173</v>
      </c>
      <c r="D271" s="25" t="n">
        <v>0.173</v>
      </c>
      <c r="E271" s="25" t="n">
        <v>0.173</v>
      </c>
      <c r="F271" s="25" t="n">
        <v>0.173</v>
      </c>
      <c r="G271" s="25" t="n">
        <v>0.173</v>
      </c>
      <c r="H271" s="25" t="n">
        <v>0.173</v>
      </c>
      <c r="I271" s="25" t="n">
        <v>0.173</v>
      </c>
    </row>
    <row r="272">
      <c r="A272" s="24" t="inlineStr">
        <is>
          <t>PF223A64D_3</t>
        </is>
      </c>
      <c r="B272" s="25" t="n">
        <v>0.165</v>
      </c>
      <c r="C272" s="25" t="n">
        <v>0.165</v>
      </c>
      <c r="D272" s="25" t="n">
        <v>0.165</v>
      </c>
      <c r="E272" s="25" t="n">
        <v>0.165</v>
      </c>
      <c r="F272" s="25" t="n">
        <v>0.165</v>
      </c>
      <c r="G272" s="25" t="n">
        <v>0.165</v>
      </c>
      <c r="H272" s="25" t="n">
        <v>0.165</v>
      </c>
      <c r="I272" s="25" t="n">
        <v>0.165</v>
      </c>
    </row>
    <row r="273">
      <c r="A273" s="24" t="inlineStr">
        <is>
          <t>PF215A64D_3</t>
        </is>
      </c>
      <c r="B273" s="25" t="n">
        <v>0.155</v>
      </c>
      <c r="C273" s="25" t="n">
        <v>0.155</v>
      </c>
      <c r="D273" s="25" t="n">
        <v>0.155</v>
      </c>
      <c r="E273" s="25" t="n">
        <v>0.155</v>
      </c>
      <c r="F273" s="25" t="n">
        <v>0.155</v>
      </c>
      <c r="G273" s="25" t="n">
        <v>0.155</v>
      </c>
      <c r="H273" s="25" t="n">
        <v>0.155</v>
      </c>
      <c r="I273" s="25" t="n">
        <v>0.155</v>
      </c>
    </row>
    <row r="274">
      <c r="A274" s="24" t="inlineStr">
        <is>
          <t>PF190A67D_3</t>
        </is>
      </c>
      <c r="B274" s="25" t="n">
        <v>0.132</v>
      </c>
      <c r="C274" s="25" t="n">
        <v>0.132</v>
      </c>
      <c r="D274" s="25" t="n">
        <v>0.132</v>
      </c>
      <c r="E274" s="25" t="n">
        <v>0.132</v>
      </c>
      <c r="F274" s="25" t="n">
        <v>0.132</v>
      </c>
      <c r="G274" s="25" t="n">
        <v>0.132</v>
      </c>
      <c r="H274" s="25" t="n">
        <v>0.132</v>
      </c>
      <c r="I274" s="25" t="n">
        <v>0.132</v>
      </c>
    </row>
    <row r="275">
      <c r="A275" s="24" t="inlineStr">
        <is>
          <t>PF333A54D_3</t>
        </is>
      </c>
      <c r="B275" s="25" t="n">
        <v>0.103</v>
      </c>
      <c r="C275" s="25" t="n">
        <v>0.103</v>
      </c>
      <c r="D275" s="25" t="n">
        <v>0.103</v>
      </c>
      <c r="E275" s="25" t="n">
        <v>0.103</v>
      </c>
      <c r="F275" s="25" t="n">
        <v>0.103</v>
      </c>
      <c r="G275" s="25" t="n">
        <v>0.103</v>
      </c>
      <c r="H275" s="25" t="n">
        <v>0.103</v>
      </c>
      <c r="I275" s="25" t="n">
        <v>0.103</v>
      </c>
    </row>
    <row r="276">
      <c r="A276" s="24" t="inlineStr">
        <is>
          <t>PF300A57D_3</t>
        </is>
      </c>
      <c r="B276" s="25" t="n">
        <v>0.102</v>
      </c>
      <c r="C276" s="25" t="n">
        <v>0.102</v>
      </c>
      <c r="D276" s="25" t="n">
        <v>0.102</v>
      </c>
      <c r="E276" s="25" t="n">
        <v>0.102</v>
      </c>
      <c r="F276" s="25" t="n">
        <v>0.102</v>
      </c>
      <c r="G276" s="25" t="n">
        <v>0.102</v>
      </c>
      <c r="H276" s="25" t="n">
        <v>0.102</v>
      </c>
      <c r="I276" s="25" t="n">
        <v>0.102</v>
      </c>
    </row>
    <row r="277">
      <c r="A277" s="24" t="inlineStr">
        <is>
          <t>PF316A55D_3</t>
        </is>
      </c>
      <c r="B277" s="25" t="n">
        <v>0.101</v>
      </c>
      <c r="C277" s="25" t="n">
        <v>0.101</v>
      </c>
      <c r="D277" s="25" t="n">
        <v>0.101</v>
      </c>
      <c r="E277" s="25" t="n">
        <v>0.101</v>
      </c>
      <c r="F277" s="25" t="n">
        <v>0.101</v>
      </c>
      <c r="G277" s="25" t="n">
        <v>0.101</v>
      </c>
      <c r="H277" s="25" t="n">
        <v>0.101</v>
      </c>
      <c r="I277" s="25" t="n">
        <v>0.101</v>
      </c>
    </row>
    <row r="278">
      <c r="A278" s="24" t="inlineStr">
        <is>
          <t>PF182A68D_3</t>
        </is>
      </c>
      <c r="B278" s="25" t="n">
        <v>0.098</v>
      </c>
      <c r="C278" s="25" t="n">
        <v>0.098</v>
      </c>
      <c r="D278" s="25" t="n">
        <v>0.098</v>
      </c>
      <c r="E278" s="25" t="n">
        <v>0.098</v>
      </c>
      <c r="F278" s="25" t="n">
        <v>0.098</v>
      </c>
      <c r="G278" s="25" t="n">
        <v>0.098</v>
      </c>
      <c r="H278" s="25" t="n">
        <v>0.098</v>
      </c>
      <c r="I278" s="25" t="n">
        <v>0.098</v>
      </c>
    </row>
    <row r="279">
      <c r="A279" s="24" t="inlineStr">
        <is>
          <t>PF266A60D_3</t>
        </is>
      </c>
      <c r="B279" s="25" t="n">
        <v>0.097</v>
      </c>
      <c r="C279" s="25" t="n">
        <v>0.097</v>
      </c>
      <c r="D279" s="25" t="n">
        <v>0.097</v>
      </c>
      <c r="E279" s="25" t="n">
        <v>0.097</v>
      </c>
      <c r="F279" s="25" t="n">
        <v>0.097</v>
      </c>
      <c r="G279" s="25" t="n">
        <v>0.097</v>
      </c>
      <c r="H279" s="25" t="n">
        <v>0.097</v>
      </c>
      <c r="I279" s="25" t="n">
        <v>0.097</v>
      </c>
    </row>
    <row r="280">
      <c r="A280" s="24" t="inlineStr">
        <is>
          <t>PF274A59D_3</t>
        </is>
      </c>
      <c r="B280" s="25" t="n">
        <v>0.091</v>
      </c>
      <c r="C280" s="25" t="n">
        <v>0.091</v>
      </c>
      <c r="D280" s="25" t="n">
        <v>0.091</v>
      </c>
      <c r="E280" s="25" t="n">
        <v>0.091</v>
      </c>
      <c r="F280" s="25" t="n">
        <v>0.091</v>
      </c>
      <c r="G280" s="25" t="n">
        <v>0.091</v>
      </c>
      <c r="H280" s="25" t="n">
        <v>0.091</v>
      </c>
      <c r="I280" s="25" t="n">
        <v>0.091</v>
      </c>
    </row>
    <row r="281">
      <c r="A281" s="24" t="inlineStr">
        <is>
          <t>PF348A53D_3</t>
        </is>
      </c>
      <c r="B281" s="25" t="n">
        <v>0.08799999999999999</v>
      </c>
      <c r="C281" s="25" t="n">
        <v>0.08799999999999999</v>
      </c>
      <c r="D281" s="25" t="n">
        <v>0.08799999999999999</v>
      </c>
      <c r="E281" s="25" t="n">
        <v>0.08799999999999999</v>
      </c>
      <c r="F281" s="25" t="n">
        <v>0.08799999999999999</v>
      </c>
      <c r="G281" s="25" t="n">
        <v>0.08799999999999999</v>
      </c>
      <c r="H281" s="25" t="n">
        <v>0.08799999999999999</v>
      </c>
      <c r="I281" s="25" t="n">
        <v>0.08799999999999999</v>
      </c>
    </row>
    <row r="282">
      <c r="A282" s="24" t="inlineStr">
        <is>
          <t>PF282A58D_3</t>
        </is>
      </c>
      <c r="B282" s="25" t="n">
        <v>0.08500000000000001</v>
      </c>
      <c r="C282" s="25" t="n">
        <v>0.08500000000000001</v>
      </c>
      <c r="D282" s="25" t="n">
        <v>0.08500000000000001</v>
      </c>
      <c r="E282" s="25" t="n">
        <v>0.08500000000000001</v>
      </c>
      <c r="F282" s="25" t="n">
        <v>0.08500000000000001</v>
      </c>
      <c r="G282" s="25" t="n">
        <v>0.08500000000000001</v>
      </c>
      <c r="H282" s="25" t="n">
        <v>0.08500000000000001</v>
      </c>
      <c r="I282" s="25" t="n">
        <v>0.08500000000000001</v>
      </c>
    </row>
    <row r="283">
      <c r="A283" s="24" t="inlineStr">
        <is>
          <t>PF324A55D_3</t>
        </is>
      </c>
      <c r="B283" s="25" t="n">
        <v>0.083</v>
      </c>
      <c r="C283" s="25" t="n">
        <v>0.083</v>
      </c>
      <c r="D283" s="25" t="n">
        <v>0.083</v>
      </c>
      <c r="E283" s="25" t="n">
        <v>0.083</v>
      </c>
      <c r="F283" s="25" t="n">
        <v>0.083</v>
      </c>
      <c r="G283" s="25" t="n">
        <v>0.083</v>
      </c>
      <c r="H283" s="25" t="n">
        <v>0.083</v>
      </c>
      <c r="I283" s="25" t="n">
        <v>0.083</v>
      </c>
    </row>
    <row r="284">
      <c r="A284" s="24" t="inlineStr">
        <is>
          <t>PF360A50D_4</t>
        </is>
      </c>
      <c r="B284" s="25" t="n">
        <v>0.082</v>
      </c>
      <c r="C284" s="25" t="n">
        <v>0.082</v>
      </c>
      <c r="D284" s="25" t="n">
        <v>0.082</v>
      </c>
      <c r="E284" s="25" t="n">
        <v>0.082</v>
      </c>
      <c r="F284" s="25" t="n">
        <v>0.082</v>
      </c>
      <c r="G284" s="25" t="n">
        <v>0.082</v>
      </c>
      <c r="H284" s="25" t="n">
        <v>0.082</v>
      </c>
      <c r="I284" s="25" t="n">
        <v>0.082</v>
      </c>
    </row>
    <row r="285">
      <c r="A285" s="24" t="inlineStr">
        <is>
          <t>PF291A57D_3</t>
        </is>
      </c>
      <c r="B285" s="25" t="n">
        <v>0.078</v>
      </c>
      <c r="C285" s="25" t="n">
        <v>0.078</v>
      </c>
      <c r="D285" s="25" t="n">
        <v>0.078</v>
      </c>
      <c r="E285" s="25" t="n">
        <v>0.078</v>
      </c>
      <c r="F285" s="25" t="n">
        <v>0.078</v>
      </c>
      <c r="G285" s="25" t="n">
        <v>0.078</v>
      </c>
      <c r="H285" s="25" t="n">
        <v>0.078</v>
      </c>
      <c r="I285" s="25" t="n">
        <v>0.078</v>
      </c>
    </row>
    <row r="286">
      <c r="A286" s="24" t="inlineStr">
        <is>
          <t>PF173A69D_3</t>
        </is>
      </c>
      <c r="B286" s="25" t="n">
        <v>0.07099999999999999</v>
      </c>
      <c r="C286" s="25" t="n">
        <v>0.07099999999999999</v>
      </c>
      <c r="D286" s="25" t="n">
        <v>0.07099999999999999</v>
      </c>
      <c r="E286" s="25" t="n">
        <v>0.07099999999999999</v>
      </c>
      <c r="F286" s="25" t="n">
        <v>0.07099999999999999</v>
      </c>
      <c r="G286" s="25" t="n">
        <v>0.07099999999999999</v>
      </c>
      <c r="H286" s="25" t="n">
        <v>0.07099999999999999</v>
      </c>
      <c r="I286" s="25" t="n">
        <v>0.07099999999999999</v>
      </c>
    </row>
    <row r="287">
      <c r="A287" s="24" t="inlineStr">
        <is>
          <t>PF384A50D_6</t>
        </is>
      </c>
      <c r="B287" s="25" t="n">
        <v>0.06</v>
      </c>
      <c r="C287" s="25" t="n">
        <v>0.06</v>
      </c>
      <c r="D287" s="25" t="n">
        <v>0.06</v>
      </c>
      <c r="E287" s="25" t="n">
        <v>0.06</v>
      </c>
      <c r="F287" s="25" t="n">
        <v>0.06</v>
      </c>
      <c r="G287" s="25" t="n">
        <v>0.06</v>
      </c>
      <c r="H287" s="25" t="n">
        <v>0.06</v>
      </c>
      <c r="I287" s="25" t="n">
        <v>0.06</v>
      </c>
    </row>
    <row r="288">
      <c r="A288" s="24" t="inlineStr">
        <is>
          <t>PF149A72D_3</t>
        </is>
      </c>
      <c r="B288" s="25" t="n">
        <v>0.052</v>
      </c>
      <c r="C288" s="25" t="n">
        <v>0.052</v>
      </c>
      <c r="D288" s="25" t="n">
        <v>0.052</v>
      </c>
      <c r="E288" s="25" t="n">
        <v>0.052</v>
      </c>
      <c r="F288" s="25" t="n">
        <v>0.052</v>
      </c>
      <c r="G288" s="25" t="n">
        <v>0.052</v>
      </c>
      <c r="H288" s="25" t="n">
        <v>0.052</v>
      </c>
      <c r="I288" s="25" t="n">
        <v>0.052</v>
      </c>
    </row>
    <row r="289">
      <c r="A289" s="24" t="inlineStr">
        <is>
          <t>PF165A70D_3</t>
        </is>
      </c>
      <c r="B289" s="25" t="n">
        <v>0.05</v>
      </c>
      <c r="C289" s="25" t="n">
        <v>0.05</v>
      </c>
      <c r="D289" s="25" t="n">
        <v>0.05</v>
      </c>
      <c r="E289" s="25" t="n">
        <v>0.05</v>
      </c>
      <c r="F289" s="25" t="n">
        <v>0.05</v>
      </c>
      <c r="G289" s="25" t="n">
        <v>0.05</v>
      </c>
      <c r="H289" s="25" t="n">
        <v>0.05</v>
      </c>
      <c r="I289" s="25" t="n">
        <v>0.05</v>
      </c>
    </row>
    <row r="290">
      <c r="A290" s="24" t="inlineStr">
        <is>
          <t>PF374A50D_4</t>
        </is>
      </c>
      <c r="B290" s="25" t="n">
        <v>0.037</v>
      </c>
      <c r="C290" s="25" t="n">
        <v>0.037</v>
      </c>
      <c r="D290" s="25" t="n">
        <v>0.037</v>
      </c>
      <c r="E290" s="25" t="n">
        <v>0.037</v>
      </c>
      <c r="F290" s="25" t="n">
        <v>0.037</v>
      </c>
      <c r="G290" s="25" t="n">
        <v>0.037</v>
      </c>
      <c r="H290" s="25" t="n">
        <v>0.037</v>
      </c>
      <c r="I290" s="25" t="n">
        <v>0.037</v>
      </c>
    </row>
    <row r="291">
      <c r="A291" s="24" t="inlineStr">
        <is>
          <t>PF156A71D_3</t>
        </is>
      </c>
      <c r="B291" s="25" t="n">
        <v>0.034</v>
      </c>
      <c r="C291" s="25" t="n">
        <v>0.034</v>
      </c>
      <c r="D291" s="25" t="n">
        <v>0.034</v>
      </c>
      <c r="E291" s="25" t="n">
        <v>0.034</v>
      </c>
      <c r="F291" s="25" t="n">
        <v>0.034</v>
      </c>
      <c r="G291" s="25" t="n">
        <v>0.034</v>
      </c>
      <c r="H291" s="25" t="n">
        <v>0.034</v>
      </c>
      <c r="I291" s="25" t="n">
        <v>0.034</v>
      </c>
    </row>
    <row r="292">
      <c r="A292" s="24" t="inlineStr">
        <is>
          <t>NITROGEN</t>
        </is>
      </c>
      <c r="B292" s="25" t="n">
        <v>0.033</v>
      </c>
      <c r="C292" s="25" t="n">
        <v>0.033</v>
      </c>
      <c r="D292" s="25" t="n">
        <v>0.033</v>
      </c>
      <c r="E292" s="25" t="n">
        <v>0.033</v>
      </c>
      <c r="F292" s="25" t="n">
        <v>0.033</v>
      </c>
      <c r="G292" s="25" t="n">
        <v>0.033</v>
      </c>
      <c r="H292" s="25" t="n">
        <v>0.033</v>
      </c>
      <c r="I292" s="25" t="n">
        <v>0.033</v>
      </c>
    </row>
    <row r="293">
      <c r="A293" s="24" t="inlineStr">
        <is>
          <t>PF358A52D_3</t>
        </is>
      </c>
      <c r="B293" s="25" t="n">
        <v>0.026</v>
      </c>
      <c r="C293" s="25" t="n">
        <v>0.026</v>
      </c>
      <c r="D293" s="25" t="n">
        <v>0.026</v>
      </c>
      <c r="E293" s="25" t="n">
        <v>0.026</v>
      </c>
      <c r="F293" s="25" t="n">
        <v>0.026</v>
      </c>
      <c r="G293" s="25" t="n">
        <v>0.026</v>
      </c>
      <c r="H293" s="25" t="n">
        <v>0.026</v>
      </c>
      <c r="I293" s="25" t="n">
        <v>0.026</v>
      </c>
    </row>
    <row r="294">
      <c r="A294" s="24" t="inlineStr">
        <is>
          <t>PF335A53D_4</t>
        </is>
      </c>
      <c r="B294" s="25" t="n">
        <v>0.023</v>
      </c>
      <c r="C294" s="25" t="n">
        <v>0.023</v>
      </c>
      <c r="D294" s="25" t="n">
        <v>0.023</v>
      </c>
      <c r="E294" s="25" t="n">
        <v>0.023</v>
      </c>
      <c r="F294" s="25" t="n">
        <v>0.023</v>
      </c>
      <c r="G294" s="25" t="n">
        <v>0.023</v>
      </c>
      <c r="H294" s="25" t="n">
        <v>0.023</v>
      </c>
      <c r="I294" s="25" t="n">
        <v>0.023</v>
      </c>
    </row>
    <row r="295">
      <c r="A295" s="24" t="inlineStr">
        <is>
          <t>NH3</t>
        </is>
      </c>
      <c r="B295" s="25" t="n">
        <v>0.021</v>
      </c>
      <c r="C295" s="25" t="n">
        <v>0.021</v>
      </c>
      <c r="D295" s="25" t="n">
        <v>0.021</v>
      </c>
      <c r="E295" s="25" t="n">
        <v>0.021</v>
      </c>
      <c r="F295" s="25" t="n">
        <v>0.021</v>
      </c>
      <c r="G295" s="25" t="n">
        <v>0.021</v>
      </c>
      <c r="H295" s="25" t="n">
        <v>0.021</v>
      </c>
      <c r="I295" s="25" t="n">
        <v>0.021</v>
      </c>
    </row>
    <row r="296">
      <c r="A296" s="24" t="inlineStr">
        <is>
          <t>O2</t>
        </is>
      </c>
      <c r="B296" s="25" t="n">
        <v>0.014</v>
      </c>
      <c r="C296" s="25" t="n">
        <v>0.014</v>
      </c>
      <c r="D296" s="25" t="n">
        <v>0.014</v>
      </c>
      <c r="E296" s="25" t="n">
        <v>0.014</v>
      </c>
      <c r="F296" s="25" t="n">
        <v>0.014</v>
      </c>
      <c r="G296" s="25" t="n">
        <v>0.014</v>
      </c>
      <c r="H296" s="25" t="n">
        <v>0.014</v>
      </c>
      <c r="I296" s="25" t="n">
        <v>0.014</v>
      </c>
    </row>
    <row r="297">
      <c r="A297" s="24" t="inlineStr">
        <is>
          <t>PF388A48D_4</t>
        </is>
      </c>
      <c r="B297" s="25" t="n">
        <v>0.008999999999999999</v>
      </c>
      <c r="C297" s="25" t="n">
        <v>0.008999999999999999</v>
      </c>
      <c r="D297" s="25" t="n">
        <v>0.008999999999999999</v>
      </c>
      <c r="E297" s="25" t="n">
        <v>0.008999999999999999</v>
      </c>
      <c r="F297" s="25" t="n">
        <v>0.008999999999999999</v>
      </c>
      <c r="G297" s="25" t="n">
        <v>0.008999999999999999</v>
      </c>
      <c r="H297" s="25" t="n">
        <v>0.008999999999999999</v>
      </c>
      <c r="I297" s="25" t="n">
        <v>0.008999999999999999</v>
      </c>
    </row>
    <row r="298">
      <c r="A298" s="24" t="inlineStr">
        <is>
          <t>PF365A51D_3</t>
        </is>
      </c>
      <c r="B298" s="25" t="n">
        <v>0.005</v>
      </c>
      <c r="C298" s="25" t="n">
        <v>0.005</v>
      </c>
      <c r="D298" s="25" t="n">
        <v>0.005</v>
      </c>
      <c r="E298" s="25" t="n">
        <v>0.005</v>
      </c>
      <c r="F298" s="25" t="n">
        <v>0.005</v>
      </c>
      <c r="G298" s="25" t="n">
        <v>0.005</v>
      </c>
      <c r="H298" s="25" t="n">
        <v>0.005</v>
      </c>
      <c r="I298" s="25" t="n">
        <v>0.005</v>
      </c>
    </row>
    <row r="299">
      <c r="A299" s="24" t="inlineStr">
        <is>
          <t>CO2</t>
        </is>
      </c>
      <c r="B299" s="25" t="n">
        <v>0.004</v>
      </c>
      <c r="C299" s="25" t="n">
        <v>0.004</v>
      </c>
      <c r="D299" s="25" t="n">
        <v>0.004</v>
      </c>
      <c r="E299" s="25" t="n">
        <v>0.004</v>
      </c>
      <c r="F299" s="25" t="n">
        <v>0.004</v>
      </c>
      <c r="G299" s="25" t="n">
        <v>0.004</v>
      </c>
      <c r="H299" s="25" t="n">
        <v>0.004</v>
      </c>
      <c r="I299" s="25" t="n">
        <v>0.004</v>
      </c>
    </row>
    <row r="300">
      <c r="A300" s="24" t="inlineStr">
        <is>
          <t>PF409A49D_6</t>
        </is>
      </c>
      <c r="B300" s="25" t="n">
        <v>0.002</v>
      </c>
      <c r="C300" s="25" t="n">
        <v>0.002</v>
      </c>
      <c r="D300" s="25" t="n">
        <v>0.002</v>
      </c>
      <c r="E300" s="25" t="n">
        <v>0.002</v>
      </c>
      <c r="F300" s="25" t="n">
        <v>0.002</v>
      </c>
      <c r="G300" s="25" t="n">
        <v>0.002</v>
      </c>
      <c r="H300" s="25" t="n">
        <v>0.002</v>
      </c>
      <c r="I300" s="25" t="n">
        <v>0.002</v>
      </c>
    </row>
    <row r="301">
      <c r="A301" s="24" t="inlineStr">
        <is>
          <t>PF403A47D_4</t>
        </is>
      </c>
      <c r="B301" s="25" t="n">
        <v>0.002</v>
      </c>
      <c r="C301" s="25" t="n">
        <v>0.002</v>
      </c>
      <c r="D301" s="25" t="n">
        <v>0.002</v>
      </c>
      <c r="E301" s="25" t="n">
        <v>0.002</v>
      </c>
      <c r="F301" s="25" t="n">
        <v>0.002</v>
      </c>
      <c r="G301" s="25" t="n">
        <v>0.002</v>
      </c>
      <c r="H301" s="25" t="n">
        <v>0.002</v>
      </c>
      <c r="I301" s="25" t="n">
        <v>0.002</v>
      </c>
    </row>
    <row r="302">
      <c r="A302" s="24" t="inlineStr">
        <is>
          <t>CO</t>
        </is>
      </c>
      <c r="B302" s="25" t="n">
        <v>0.002</v>
      </c>
      <c r="C302" s="25" t="n">
        <v>0.002</v>
      </c>
      <c r="D302" s="25" t="n">
        <v>0.002</v>
      </c>
      <c r="E302" s="25" t="n">
        <v>0.002</v>
      </c>
      <c r="F302" s="25" t="n">
        <v>0.002</v>
      </c>
      <c r="G302" s="25" t="n">
        <v>0.002</v>
      </c>
      <c r="H302" s="25" t="n">
        <v>0.002</v>
      </c>
      <c r="I302" s="25" t="n">
        <v>0.002</v>
      </c>
    </row>
    <row r="303">
      <c r="A303" s="24" t="inlineStr">
        <is>
          <t>PF142A73D_3</t>
        </is>
      </c>
      <c r="B303" s="25" t="n">
        <v>0.001</v>
      </c>
      <c r="C303" s="25" t="n">
        <v>0.001</v>
      </c>
      <c r="D303" s="25" t="n">
        <v>0.001</v>
      </c>
      <c r="E303" s="25" t="n">
        <v>0.001</v>
      </c>
      <c r="F303" s="25" t="n">
        <v>0.001</v>
      </c>
      <c r="G303" s="25" t="n">
        <v>0.001</v>
      </c>
      <c r="H303" s="25" t="n">
        <v>0.001</v>
      </c>
      <c r="I303" s="25" t="n">
        <v>0.001</v>
      </c>
    </row>
    <row r="304">
      <c r="A304" s="24" t="inlineStr">
        <is>
          <t>PF416A46D_4</t>
        </is>
      </c>
      <c r="B304" s="25" t="n">
        <v>0</v>
      </c>
      <c r="C304" s="25" t="n">
        <v>0</v>
      </c>
      <c r="D304" s="25" t="n">
        <v>0</v>
      </c>
      <c r="E304" s="25" t="n">
        <v>0</v>
      </c>
      <c r="F304" s="25" t="n">
        <v>0</v>
      </c>
      <c r="G304" s="25" t="n">
        <v>0</v>
      </c>
      <c r="H304" s="25" t="n">
        <v>0</v>
      </c>
      <c r="I304" s="25" t="n">
        <v>0</v>
      </c>
    </row>
    <row r="305">
      <c r="A305" s="24" t="inlineStr">
        <is>
          <t>PF434A47D_6</t>
        </is>
      </c>
      <c r="B305" s="25" t="n">
        <v>0</v>
      </c>
      <c r="C305" s="25" t="n">
        <v>0</v>
      </c>
      <c r="D305" s="25" t="n">
        <v>0</v>
      </c>
      <c r="E305" s="25" t="n">
        <v>0</v>
      </c>
      <c r="F305" s="25" t="n">
        <v>0</v>
      </c>
      <c r="G305" s="25" t="n">
        <v>0</v>
      </c>
      <c r="H305" s="25" t="n">
        <v>0</v>
      </c>
      <c r="I305" s="25" t="n">
        <v>0</v>
      </c>
    </row>
    <row r="306">
      <c r="A306" s="24" t="inlineStr">
        <is>
          <t>PF431A45D_4</t>
        </is>
      </c>
      <c r="B306" s="25" t="n">
        <v>0</v>
      </c>
      <c r="C306" s="25" t="n">
        <v>0</v>
      </c>
      <c r="D306" s="25" t="n">
        <v>0</v>
      </c>
      <c r="E306" s="25" t="n">
        <v>0</v>
      </c>
      <c r="F306" s="25" t="n">
        <v>0</v>
      </c>
      <c r="G306" s="25" t="n">
        <v>0</v>
      </c>
      <c r="H306" s="25" t="n">
        <v>0</v>
      </c>
      <c r="I306" s="25" t="n">
        <v>0</v>
      </c>
    </row>
    <row r="307">
      <c r="A307" s="24" t="inlineStr">
        <is>
          <t>HCL</t>
        </is>
      </c>
      <c r="B307" s="25" t="n">
        <v>0</v>
      </c>
      <c r="C307" s="25" t="n">
        <v>0</v>
      </c>
      <c r="D307" s="25" t="n">
        <v>0</v>
      </c>
      <c r="E307" s="25" t="n">
        <v>0</v>
      </c>
      <c r="F307" s="25" t="n">
        <v>0</v>
      </c>
      <c r="G307" s="25" t="n">
        <v>0</v>
      </c>
      <c r="H307" s="25" t="n">
        <v>0</v>
      </c>
      <c r="I307" s="25" t="n">
        <v>0</v>
      </c>
    </row>
    <row r="308">
      <c r="A308" s="24" t="inlineStr">
        <is>
          <t>PF445A44D_4</t>
        </is>
      </c>
      <c r="B308" s="25" t="n">
        <v>0</v>
      </c>
      <c r="C308" s="25" t="n">
        <v>0</v>
      </c>
      <c r="D308" s="25" t="n">
        <v>0</v>
      </c>
      <c r="E308" s="25" t="n">
        <v>0</v>
      </c>
      <c r="F308" s="25" t="n">
        <v>0</v>
      </c>
      <c r="G308" s="25" t="n">
        <v>0</v>
      </c>
      <c r="H308" s="25" t="n">
        <v>0</v>
      </c>
      <c r="I308" s="25" t="n">
        <v>0</v>
      </c>
    </row>
    <row r="309">
      <c r="A309" s="24" t="inlineStr">
        <is>
          <t>PF459A45D_6</t>
        </is>
      </c>
      <c r="B309" s="25" t="n">
        <v>0</v>
      </c>
      <c r="C309" s="25" t="n">
        <v>0</v>
      </c>
      <c r="D309" s="25" t="n">
        <v>0</v>
      </c>
      <c r="E309" s="25" t="n">
        <v>0</v>
      </c>
      <c r="F309" s="25" t="n">
        <v>0</v>
      </c>
      <c r="G309" s="25" t="n">
        <v>0</v>
      </c>
      <c r="H309" s="25" t="n">
        <v>0</v>
      </c>
      <c r="I309" s="25" t="n">
        <v>0</v>
      </c>
    </row>
    <row r="310">
      <c r="A310" s="24" t="inlineStr">
        <is>
          <t>PF459A43D_4</t>
        </is>
      </c>
      <c r="B310" s="25" t="n">
        <v>0</v>
      </c>
      <c r="C310" s="25" t="n">
        <v>0</v>
      </c>
      <c r="D310" s="25" t="n">
        <v>0</v>
      </c>
      <c r="E310" s="25" t="n">
        <v>0</v>
      </c>
      <c r="F310" s="25" t="n">
        <v>0</v>
      </c>
      <c r="G310" s="25" t="n">
        <v>0</v>
      </c>
      <c r="H310" s="25" t="n">
        <v>0</v>
      </c>
      <c r="I310" s="25" t="n">
        <v>0</v>
      </c>
    </row>
    <row r="311">
      <c r="A311" s="24" t="inlineStr">
        <is>
          <t>PF474A42D_4</t>
        </is>
      </c>
      <c r="B311" s="25" t="n">
        <v>0</v>
      </c>
      <c r="C311" s="25" t="n">
        <v>0</v>
      </c>
      <c r="D311" s="25" t="n">
        <v>0</v>
      </c>
      <c r="E311" s="25" t="n">
        <v>0</v>
      </c>
      <c r="F311" s="25" t="n">
        <v>0</v>
      </c>
      <c r="G311" s="25" t="n">
        <v>0</v>
      </c>
      <c r="H311" s="25" t="n">
        <v>0</v>
      </c>
      <c r="I311" s="25" t="n">
        <v>0</v>
      </c>
    </row>
    <row r="312">
      <c r="A312" s="24" t="inlineStr">
        <is>
          <t>PF485A44D_6</t>
        </is>
      </c>
      <c r="B312" s="25" t="n">
        <v>0</v>
      </c>
      <c r="C312" s="25" t="n">
        <v>0</v>
      </c>
      <c r="D312" s="25" t="n">
        <v>0</v>
      </c>
      <c r="E312" s="25" t="n">
        <v>0</v>
      </c>
      <c r="F312" s="25" t="n">
        <v>0</v>
      </c>
      <c r="G312" s="25" t="n">
        <v>0</v>
      </c>
      <c r="H312" s="25" t="n">
        <v>0</v>
      </c>
      <c r="I312" s="25" t="n">
        <v>0</v>
      </c>
    </row>
    <row r="313">
      <c r="A313" s="24" t="inlineStr">
        <is>
          <t>PF487A41D_4</t>
        </is>
      </c>
      <c r="B313" s="25" t="n">
        <v>0</v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5" t="n">
        <v>0</v>
      </c>
    </row>
    <row r="314">
      <c r="A314" s="24" t="inlineStr">
        <is>
          <t>CYCLOPENTANE</t>
        </is>
      </c>
      <c r="B314" s="25" t="n">
        <v>0</v>
      </c>
      <c r="C314" s="25" t="n">
        <v>0</v>
      </c>
      <c r="D314" s="25" t="n">
        <v>0</v>
      </c>
      <c r="E314" s="25" t="n">
        <v>0</v>
      </c>
      <c r="F314" s="25" t="n">
        <v>0</v>
      </c>
      <c r="G314" s="25" t="n">
        <v>0</v>
      </c>
      <c r="H314" s="25" t="n">
        <v>0</v>
      </c>
      <c r="I314" s="25" t="n">
        <v>0</v>
      </c>
    </row>
    <row r="315">
      <c r="A315" s="24" t="inlineStr">
        <is>
          <t>PF510A42D_6</t>
        </is>
      </c>
      <c r="B315" s="25" t="n">
        <v>0</v>
      </c>
      <c r="C315" s="25" t="n">
        <v>0</v>
      </c>
      <c r="D315" s="25" t="n">
        <v>0</v>
      </c>
      <c r="E315" s="25" t="n">
        <v>0</v>
      </c>
      <c r="F315" s="25" t="n">
        <v>0</v>
      </c>
      <c r="G315" s="25" t="n">
        <v>0</v>
      </c>
      <c r="H315" s="25" t="n">
        <v>0</v>
      </c>
      <c r="I315" s="25" t="n">
        <v>0</v>
      </c>
    </row>
    <row r="316">
      <c r="A316" s="24" t="inlineStr">
        <is>
          <t>PF502A40D_4</t>
        </is>
      </c>
      <c r="B316" s="25" t="n">
        <v>0</v>
      </c>
      <c r="C316" s="25" t="n">
        <v>0</v>
      </c>
      <c r="D316" s="25" t="n">
        <v>0</v>
      </c>
      <c r="E316" s="25" t="n">
        <v>0</v>
      </c>
      <c r="F316" s="25" t="n">
        <v>0</v>
      </c>
      <c r="G316" s="25" t="n">
        <v>0</v>
      </c>
      <c r="H316" s="25" t="n">
        <v>0</v>
      </c>
      <c r="I316" s="25" t="n">
        <v>0</v>
      </c>
    </row>
    <row r="317">
      <c r="A317" s="26" t="inlineStr">
        <is>
          <t>TOTAL (mol %)</t>
        </is>
      </c>
      <c r="B317" s="27" t="n">
        <v>100</v>
      </c>
      <c r="C317" s="27" t="n">
        <v>100</v>
      </c>
      <c r="D317" s="27" t="n">
        <v>100</v>
      </c>
      <c r="E317" s="27" t="n">
        <v>100</v>
      </c>
      <c r="F317" s="27" t="n">
        <v>100</v>
      </c>
      <c r="G317" s="27" t="n">
        <v>100</v>
      </c>
      <c r="H317" s="27" t="n">
        <v>100</v>
      </c>
      <c r="I317" s="27" t="n">
        <v>100</v>
      </c>
    </row>
  </sheetData>
  <mergeCells count="5">
    <mergeCell ref="A82:I82"/>
    <mergeCell ref="A161:I161"/>
    <mergeCell ref="A1:I1"/>
    <mergeCell ref="A3:I3"/>
    <mergeCell ref="A240:I2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9" customWidth="1" min="4" max="4"/>
    <col width="11" customWidth="1" min="5" max="5"/>
    <col width="13" customWidth="1" min="6" max="6"/>
    <col width="12" customWidth="1" min="7" max="7"/>
    <col width="10" customWidth="1" min="8" max="8"/>
    <col width="14" customWidth="1" min="9" max="9"/>
    <col width="13" customWidth="1" min="10" max="10"/>
    <col width="12" customWidth="1" min="11" max="11"/>
  </cols>
  <sheetData>
    <row r="1" ht="30" customHeight="1">
      <c r="A1" s="28" t="inlineStr">
        <is>
          <t>COMPONENT DETAIL   |   Phase model: VAPOR   |   Compressible gas: ρ scaled to local P (isothermal, const Z). Darcy f·(L/D)·½ρv² + K·½ρv² + ρgΔz.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(mm)</t>
        </is>
      </c>
      <c r="E2" s="2" t="inlineStr">
        <is>
          <t>Length (m)</t>
        </is>
      </c>
      <c r="F2" s="2" t="inlineStr">
        <is>
          <t>Velocity (m/s)</t>
        </is>
      </c>
      <c r="G2" s="2" t="inlineStr">
        <is>
          <t>Reynolds</t>
        </is>
      </c>
      <c r="H2" s="2" t="inlineStr">
        <is>
          <t>Friction f</t>
        </is>
      </c>
      <c r="I2" s="2" t="inlineStr">
        <is>
          <t>Density (kg/m3)</t>
        </is>
      </c>
      <c r="J2" s="2" t="inlineStr">
        <is>
          <t>dP Total (kPa)</t>
        </is>
      </c>
      <c r="K2" s="2" t="inlineStr">
        <is>
          <t>P Out (kPa)</t>
        </is>
      </c>
    </row>
    <row r="3">
      <c r="A3" s="17" t="n">
        <v>1</v>
      </c>
      <c r="B3" s="18" t="inlineStr">
        <is>
          <t>ENT-01</t>
        </is>
      </c>
      <c r="C3" s="18" t="inlineStr">
        <is>
          <t>Pipeline Entrance - Sharp Edge</t>
        </is>
      </c>
      <c r="D3" s="17" t="n">
        <v>202.7174</v>
      </c>
      <c r="E3" s="17" t="n">
        <v>0</v>
      </c>
      <c r="F3" s="17" t="n">
        <v>13.1399</v>
      </c>
      <c r="G3" s="17" t="n">
        <v>3945498</v>
      </c>
      <c r="H3" s="17" t="n">
        <v>0.01438</v>
      </c>
      <c r="I3" s="17" t="n">
        <v>15.58244</v>
      </c>
      <c r="J3" s="17" t="n">
        <v>0.67258</v>
      </c>
      <c r="K3" s="17" t="n">
        <v>688.8028</v>
      </c>
    </row>
    <row r="4">
      <c r="A4" s="19" t="n">
        <v>2</v>
      </c>
      <c r="B4" s="20" t="inlineStr">
        <is>
          <t>P-001</t>
        </is>
      </c>
      <c r="C4" s="20" t="inlineStr">
        <is>
          <t>Straight Pipeline</t>
        </is>
      </c>
      <c r="D4" s="19" t="n">
        <v>202.7174</v>
      </c>
      <c r="E4" s="19" t="n">
        <v>15.24</v>
      </c>
      <c r="F4" s="19" t="n">
        <v>13.1527</v>
      </c>
      <c r="G4" s="19" t="n">
        <v>3945498</v>
      </c>
      <c r="H4" s="19" t="n">
        <v>0.01438</v>
      </c>
      <c r="I4" s="19" t="n">
        <v>15.56722</v>
      </c>
      <c r="J4" s="19" t="n">
        <v>1.36213</v>
      </c>
      <c r="K4" s="19" t="n">
        <v>687.4411</v>
      </c>
    </row>
    <row r="5">
      <c r="A5" s="17" t="n">
        <v>3</v>
      </c>
      <c r="B5" s="18" t="inlineStr">
        <is>
          <t>EL-001</t>
        </is>
      </c>
      <c r="C5" s="18" t="inlineStr">
        <is>
          <t>Elbow 90 Long</t>
        </is>
      </c>
      <c r="D5" s="17" t="n">
        <v>202.7174</v>
      </c>
      <c r="E5" s="17" t="n">
        <v>0</v>
      </c>
      <c r="F5" s="17" t="n">
        <v>13.1786</v>
      </c>
      <c r="G5" s="17" t="n">
        <v>3945498</v>
      </c>
      <c r="H5" s="17" t="n">
        <v>0.01438</v>
      </c>
      <c r="I5" s="17" t="n">
        <v>15.53647</v>
      </c>
      <c r="J5" s="17" t="n">
        <v>0.40472</v>
      </c>
      <c r="K5" s="17" t="n">
        <v>687.0364</v>
      </c>
    </row>
    <row r="6">
      <c r="A6" s="19" t="n">
        <v>4</v>
      </c>
      <c r="B6" s="20" t="inlineStr">
        <is>
          <t>TEE-01</t>
        </is>
      </c>
      <c r="C6" s="20" t="inlineStr">
        <is>
          <t>Tee Split Line Flow</t>
        </is>
      </c>
      <c r="D6" s="19" t="n">
        <v>202.7174</v>
      </c>
      <c r="E6" s="19" t="n">
        <v>0</v>
      </c>
      <c r="F6" s="19" t="n">
        <v>7.912</v>
      </c>
      <c r="G6" s="19" t="n">
        <v>2367299</v>
      </c>
      <c r="H6" s="19" t="n">
        <v>0.01454</v>
      </c>
      <c r="I6" s="19" t="n">
        <v>15.52734</v>
      </c>
      <c r="J6" s="19" t="n">
        <v>0.19436</v>
      </c>
      <c r="K6" s="19" t="n">
        <v>686.8419</v>
      </c>
    </row>
    <row r="7">
      <c r="A7" s="17" t="n">
        <v>5</v>
      </c>
      <c r="B7" s="18" t="inlineStr">
        <is>
          <t>PSV-01</t>
        </is>
      </c>
      <c r="C7" s="18" t="inlineStr">
        <is>
          <t>Fix Pressure</t>
        </is>
      </c>
      <c r="D7" s="17" t="n">
        <v>202.7174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24.13172</v>
      </c>
      <c r="K7" s="17" t="n">
        <v>662.7103</v>
      </c>
    </row>
    <row r="8">
      <c r="A8" s="19" t="n">
        <v>1</v>
      </c>
      <c r="B8" s="20" t="inlineStr">
        <is>
          <t>P-002</t>
        </is>
      </c>
      <c r="C8" s="20" t="inlineStr">
        <is>
          <t>Straight Pipeline</t>
        </is>
      </c>
      <c r="D8" s="19" t="n">
        <v>202.7174</v>
      </c>
      <c r="E8" s="19" t="n">
        <v>9.144</v>
      </c>
      <c r="F8" s="19" t="n">
        <v>8.202500000000001</v>
      </c>
      <c r="G8" s="19" t="n">
        <v>2367299</v>
      </c>
      <c r="H8" s="19" t="n">
        <v>0.01454</v>
      </c>
      <c r="I8" s="19" t="n">
        <v>14.97742</v>
      </c>
      <c r="J8" s="19" t="n">
        <v>0.33053</v>
      </c>
      <c r="K8" s="19" t="n">
        <v>662.3792999999999</v>
      </c>
    </row>
    <row r="9">
      <c r="A9" s="17" t="n">
        <v>2</v>
      </c>
      <c r="B9" s="18" t="inlineStr">
        <is>
          <t>EL-002</t>
        </is>
      </c>
      <c r="C9" s="18" t="inlineStr">
        <is>
          <t>Elbow 90 Long</t>
        </is>
      </c>
      <c r="D9" s="17" t="n">
        <v>202.7174</v>
      </c>
      <c r="E9" s="17" t="n">
        <v>0</v>
      </c>
      <c r="F9" s="17" t="n">
        <v>8.2064</v>
      </c>
      <c r="G9" s="17" t="n">
        <v>2367299</v>
      </c>
      <c r="H9" s="17" t="n">
        <v>0.01454</v>
      </c>
      <c r="I9" s="17" t="n">
        <v>14.97005</v>
      </c>
      <c r="J9" s="17" t="n">
        <v>0.1512</v>
      </c>
      <c r="K9" s="17" t="n">
        <v>662.2283</v>
      </c>
    </row>
    <row r="10">
      <c r="A10" s="19" t="n">
        <v>3</v>
      </c>
      <c r="B10" s="20" t="inlineStr">
        <is>
          <t>VLV-01</t>
        </is>
      </c>
      <c r="C10" s="20" t="inlineStr">
        <is>
          <t>Fix K</t>
        </is>
      </c>
      <c r="D10" s="19" t="n">
        <v>202.7174</v>
      </c>
      <c r="E10" s="19" t="n">
        <v>0</v>
      </c>
      <c r="F10" s="19" t="n">
        <v>8.208299999999999</v>
      </c>
      <c r="G10" s="19" t="n">
        <v>2367299</v>
      </c>
      <c r="H10" s="19" t="n">
        <v>0.01454</v>
      </c>
      <c r="I10" s="19" t="n">
        <v>14.96669</v>
      </c>
      <c r="J10" s="19" t="n">
        <v>3.63023</v>
      </c>
      <c r="K10" s="19" t="n">
        <v>658.5982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</cols>
  <sheetData>
    <row r="1" ht="20" customHeight="1">
      <c r="A1" s="13" t="inlineStr">
        <is>
          <t>HMB STREAM — T801-OH</t>
        </is>
      </c>
    </row>
    <row r="2" ht="32" customHeight="1">
      <c r="A2" s="2" t="inlineStr">
        <is>
          <t>Property</t>
        </is>
      </c>
      <c r="B2" s="2" t="inlineStr">
        <is>
          <t>Value</t>
        </is>
      </c>
      <c r="C2" s="2" t="inlineStr">
        <is>
          <t>Unit / Note</t>
        </is>
      </c>
    </row>
    <row r="3">
      <c r="A3" s="29" t="inlineStr">
        <is>
          <t>Phase (HMB)</t>
        </is>
      </c>
      <c r="B3" s="6" t="inlineStr">
        <is>
          <t>Vapor</t>
        </is>
      </c>
      <c r="C3" s="18" t="inlineStr"/>
    </row>
    <row r="4">
      <c r="A4" s="14" t="inlineStr">
        <is>
          <t>Phase model chosen</t>
        </is>
      </c>
      <c r="B4" s="6" t="inlineStr">
        <is>
          <t>VAPOR</t>
        </is>
      </c>
      <c r="C4" s="20" t="inlineStr">
        <is>
          <t>drives calc dispatch</t>
        </is>
      </c>
    </row>
    <row r="5">
      <c r="A5" s="29" t="inlineStr">
        <is>
          <t>Temperature</t>
        </is>
      </c>
      <c r="B5" s="5" t="n">
        <v>173.28</v>
      </c>
      <c r="C5" s="18" t="inlineStr">
        <is>
          <t>°C</t>
        </is>
      </c>
    </row>
    <row r="6">
      <c r="A6" s="14" t="inlineStr">
        <is>
          <t>Pressure (inlet)</t>
        </is>
      </c>
      <c r="B6" s="5" t="n">
        <v>721.8531</v>
      </c>
      <c r="C6" s="20" t="inlineStr">
        <is>
          <t>kPa</t>
        </is>
      </c>
    </row>
    <row r="7">
      <c r="A7" s="29" t="inlineStr">
        <is>
          <t>Total mass flow</t>
        </is>
      </c>
      <c r="B7" s="5" t="n">
        <v>23790.4</v>
      </c>
      <c r="C7" s="18" t="inlineStr">
        <is>
          <t>kg/hr</t>
        </is>
      </c>
    </row>
    <row r="8">
      <c r="A8" s="14" t="inlineStr">
        <is>
          <t>Vapor mass flow</t>
        </is>
      </c>
      <c r="B8" s="5" t="n">
        <v>23790.4</v>
      </c>
      <c r="C8" s="20" t="inlineStr">
        <is>
          <t>kg/hr</t>
        </is>
      </c>
    </row>
    <row r="9">
      <c r="A9" s="29" t="inlineStr">
        <is>
          <t>Liquid mass flow</t>
        </is>
      </c>
      <c r="B9" s="5" t="n">
        <v>0</v>
      </c>
      <c r="C9" s="18" t="inlineStr">
        <is>
          <t>kg/hr</t>
        </is>
      </c>
    </row>
    <row r="10">
      <c r="A10" s="14" t="inlineStr">
        <is>
          <t>Molecular weight</t>
        </is>
      </c>
      <c r="B10" s="5" t="n">
        <v>75.594688</v>
      </c>
      <c r="C10" s="20" t="inlineStr">
        <is>
          <t>-</t>
        </is>
      </c>
    </row>
    <row r="11">
      <c r="A11" s="29" t="inlineStr">
        <is>
          <t>Vapor density</t>
        </is>
      </c>
      <c r="B11" s="5" t="n">
        <v>16.31418</v>
      </c>
      <c r="C11" s="18" t="inlineStr">
        <is>
          <t>kg/m3</t>
        </is>
      </c>
    </row>
    <row r="12">
      <c r="A12" s="14" t="inlineStr">
        <is>
          <t>Liquid density</t>
        </is>
      </c>
      <c r="B12" s="6" t="inlineStr"/>
      <c r="C12" s="20" t="inlineStr">
        <is>
          <t>kg/m3</t>
        </is>
      </c>
    </row>
    <row r="13">
      <c r="A13" s="29" t="inlineStr">
        <is>
          <t>Vapor viscosity</t>
        </is>
      </c>
      <c r="B13" s="5" t="n">
        <v>0.01052</v>
      </c>
      <c r="C13" s="18" t="inlineStr">
        <is>
          <t>cP</t>
        </is>
      </c>
    </row>
    <row r="14">
      <c r="A14" s="14" t="inlineStr">
        <is>
          <t>Liquid viscosity</t>
        </is>
      </c>
      <c r="B14" s="6" t="inlineStr"/>
      <c r="C14" s="20" t="inlineStr">
        <is>
          <t>cP</t>
        </is>
      </c>
    </row>
    <row r="15">
      <c r="A15" s="29" t="inlineStr">
        <is>
          <t>Vapor Z-factor</t>
        </is>
      </c>
      <c r="B15" s="5" t="n">
        <v>0.901127</v>
      </c>
      <c r="C15" s="18" t="inlineStr">
        <is>
          <t>-</t>
        </is>
      </c>
    </row>
    <row r="16">
      <c r="A16" s="14" t="inlineStr">
        <is>
          <t>Liquid surface tension</t>
        </is>
      </c>
      <c r="B16" s="6" t="inlineStr"/>
      <c r="C16" s="20" t="inlineStr">
        <is>
          <t>dyn/cm</t>
        </is>
      </c>
    </row>
    <row r="17">
      <c r="A17" s="29" t="inlineStr">
        <is>
          <t>Source sheet</t>
        </is>
      </c>
      <c r="B17" s="6" t="inlineStr">
        <is>
          <t>T801-OH</t>
        </is>
      </c>
      <c r="C17" s="18" t="inlineStr"/>
    </row>
    <row r="18">
      <c r="A18" s="14" t="inlineStr">
        <is>
          <t>Unconverged warning</t>
        </is>
      </c>
      <c r="B18" s="6" t="inlineStr">
        <is>
          <t>No</t>
        </is>
      </c>
      <c r="C18" s="2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AB2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6" customWidth="1" min="4" max="4"/>
    <col width="9" customWidth="1" min="5" max="5"/>
    <col width="9" customWidth="1" min="6" max="6"/>
    <col width="8" customWidth="1" min="7" max="7"/>
    <col width="12" customWidth="1" min="8" max="8"/>
    <col width="11" customWidth="1" min="9" max="9"/>
    <col width="14" customWidth="1" min="10" max="10"/>
    <col width="8" customWidth="1" min="11" max="11"/>
    <col width="8" customWidth="1" min="12" max="12"/>
    <col width="11" customWidth="1" min="13" max="13"/>
    <col width="12" customWidth="1" min="14" max="14"/>
    <col width="11" customWidth="1" min="15" max="15"/>
    <col width="12" customWidth="1" min="16" max="16"/>
    <col width="16" customWidth="1" min="17" max="17"/>
    <col width="13" customWidth="1" min="18" max="18"/>
    <col width="13" customWidth="1" min="19" max="19"/>
    <col width="16" customWidth="1" min="20" max="20"/>
    <col width="13" customWidth="1" min="21" max="21"/>
    <col width="13" customWidth="1" min="22" max="22"/>
    <col width="16" customWidth="1" min="23" max="23"/>
    <col width="13" customWidth="1" min="24" max="24"/>
    <col width="13" customWidth="1" min="25" max="25"/>
    <col width="16" customWidth="1" min="26" max="26"/>
    <col width="13" customWidth="1" min="27" max="27"/>
    <col width="13" customWidth="1" min="28" max="28"/>
  </cols>
  <sheetData>
    <row r="1" ht="22" customHeight="1">
      <c r="A1" s="13" t="inlineStr">
        <is>
          <t>FIV — EI T2.2   |   Line Circuit C1  (ER-162, H-284) &lt;-&gt; Stream T801-OH   |   LOF limits = 0.15, 0.25, 0.35, 0.45   |   Steel   |   11-Jun-2026 17:58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NPS</t>
        </is>
      </c>
      <c r="E2" s="2" t="inlineStr">
        <is>
          <t>OD (mm)</t>
        </is>
      </c>
      <c r="F2" s="2" t="inlineStr">
        <is>
          <t>Wall (mm)</t>
        </is>
      </c>
      <c r="G2" s="2" t="inlineStr">
        <is>
          <t>ID (mm)</t>
        </is>
      </c>
      <c r="H2" s="2" t="inlineStr">
        <is>
          <t>Velocity (m/s)</t>
        </is>
      </c>
      <c r="I2" s="2" t="inlineStr">
        <is>
          <t>ρ (kg/m3)</t>
        </is>
      </c>
      <c r="J2" s="2" t="inlineStr">
        <is>
          <t>ρv² (kg/m·s²)</t>
        </is>
      </c>
      <c r="K2" s="2" t="inlineStr">
        <is>
          <t>GVF</t>
        </is>
      </c>
      <c r="L2" s="2" t="inlineStr">
        <is>
          <t>FCF</t>
        </is>
      </c>
      <c r="M2" s="2" t="inlineStr">
        <is>
          <t>Fv Stiff</t>
        </is>
      </c>
      <c r="N2" s="2" t="inlineStr">
        <is>
          <t>Fv Med-Stiff</t>
        </is>
      </c>
      <c r="O2" s="2" t="inlineStr">
        <is>
          <t>Fv Medium</t>
        </is>
      </c>
      <c r="P2" s="2" t="inlineStr">
        <is>
          <t>Fv Flexible</t>
        </is>
      </c>
      <c r="Q2" s="3" t="inlineStr">
        <is>
          <t>Support (LOF≤0.15)</t>
        </is>
      </c>
      <c r="R2" s="3" t="inlineStr">
        <is>
          <t>Span @0.15 (m)</t>
        </is>
      </c>
      <c r="S2" s="3" t="inlineStr">
        <is>
          <t>Span @0.15 (ft)</t>
        </is>
      </c>
      <c r="T2" s="3" t="inlineStr">
        <is>
          <t>Support (LOF≤0.25)</t>
        </is>
      </c>
      <c r="U2" s="3" t="inlineStr">
        <is>
          <t>Span @0.25 (m)</t>
        </is>
      </c>
      <c r="V2" s="3" t="inlineStr">
        <is>
          <t>Span @0.25 (ft)</t>
        </is>
      </c>
      <c r="W2" s="3" t="inlineStr">
        <is>
          <t>Support (LOF≤0.35)</t>
        </is>
      </c>
      <c r="X2" s="3" t="inlineStr">
        <is>
          <t>Span @0.35 (m)</t>
        </is>
      </c>
      <c r="Y2" s="3" t="inlineStr">
        <is>
          <t>Span @0.35 (ft)</t>
        </is>
      </c>
      <c r="Z2" s="3" t="inlineStr">
        <is>
          <t>Support (LOF≤0.45)</t>
        </is>
      </c>
      <c r="AA2" s="3" t="inlineStr">
        <is>
          <t>Span @0.45 (m)</t>
        </is>
      </c>
      <c r="AB2" s="3" t="inlineStr">
        <is>
          <t>Span @0.45 (ft)</t>
        </is>
      </c>
    </row>
    <row r="3" ht="14" customHeight="1">
      <c r="A3" s="4" t="inlineStr">
        <is>
          <t xml:space="preserve">  ▶  LINE: ER-162</t>
        </is>
      </c>
    </row>
    <row r="4">
      <c r="A4" s="5" t="n">
        <v>1</v>
      </c>
      <c r="B4" s="6" t="inlineStr">
        <is>
          <t>ENT-01</t>
        </is>
      </c>
      <c r="C4" s="6" t="inlineStr">
        <is>
          <t>Pipeline Entrance - Sharp Edge</t>
        </is>
      </c>
      <c r="D4" s="6" t="inlineStr">
        <is>
          <t>8</t>
        </is>
      </c>
      <c r="E4" s="5" t="n">
        <v>219.07</v>
      </c>
      <c r="F4" s="5" t="n">
        <v>8.18</v>
      </c>
      <c r="G4" s="5" t="n">
        <v>202.7174</v>
      </c>
      <c r="H4" s="5" t="n">
        <v>13.1399</v>
      </c>
      <c r="I4" s="5" t="n">
        <v>15.58244</v>
      </c>
      <c r="J4" s="5" t="n">
        <v>2690.4</v>
      </c>
      <c r="K4" s="5" t="n">
        <v>1</v>
      </c>
      <c r="L4" s="5" t="n">
        <v>0.0936</v>
      </c>
      <c r="M4" s="5" t="n">
        <v>38357.2</v>
      </c>
      <c r="N4" s="5" t="n">
        <v>18625.8</v>
      </c>
      <c r="O4" s="5" t="n">
        <v>10593.9</v>
      </c>
      <c r="P4" s="5" t="n">
        <v>2615.6</v>
      </c>
      <c r="Q4" s="12" t="inlineStr">
        <is>
          <t>Flexible</t>
        </is>
      </c>
      <c r="R4" s="6" t="inlineStr">
        <is>
          <t>No EI span limit</t>
        </is>
      </c>
      <c r="S4" s="6" t="inlineStr"/>
      <c r="T4" s="12" t="inlineStr">
        <is>
          <t>Flexible</t>
        </is>
      </c>
      <c r="U4" s="6" t="inlineStr">
        <is>
          <t>No EI span limit</t>
        </is>
      </c>
      <c r="V4" s="6" t="inlineStr"/>
      <c r="W4" s="12" t="inlineStr">
        <is>
          <t>Flexible</t>
        </is>
      </c>
      <c r="X4" s="6" t="inlineStr">
        <is>
          <t>No EI span limit</t>
        </is>
      </c>
      <c r="Y4" s="6" t="inlineStr"/>
      <c r="Z4" s="12" t="inlineStr">
        <is>
          <t>Flexible</t>
        </is>
      </c>
      <c r="AA4" s="6" t="inlineStr">
        <is>
          <t>No EI span limit</t>
        </is>
      </c>
      <c r="AB4" s="6" t="inlineStr"/>
    </row>
    <row r="5">
      <c r="A5" s="5" t="n">
        <v>2</v>
      </c>
      <c r="B5" s="6" t="inlineStr">
        <is>
          <t>P-001</t>
        </is>
      </c>
      <c r="C5" s="6" t="inlineStr">
        <is>
          <t>Straight Pipeline</t>
        </is>
      </c>
      <c r="D5" s="6" t="inlineStr">
        <is>
          <t>8</t>
        </is>
      </c>
      <c r="E5" s="5" t="n">
        <v>219.07</v>
      </c>
      <c r="F5" s="5" t="n">
        <v>8.18</v>
      </c>
      <c r="G5" s="5" t="n">
        <v>202.7174</v>
      </c>
      <c r="H5" s="5" t="n">
        <v>13.1527</v>
      </c>
      <c r="I5" s="5" t="n">
        <v>15.56722</v>
      </c>
      <c r="J5" s="5" t="n">
        <v>2693</v>
      </c>
      <c r="K5" s="5" t="n">
        <v>1</v>
      </c>
      <c r="L5" s="5" t="n">
        <v>0.0936</v>
      </c>
      <c r="M5" s="5" t="n">
        <v>38357.2</v>
      </c>
      <c r="N5" s="5" t="n">
        <v>18625.8</v>
      </c>
      <c r="O5" s="5" t="n">
        <v>10593.9</v>
      </c>
      <c r="P5" s="5" t="n">
        <v>2615.6</v>
      </c>
      <c r="Q5" s="12" t="inlineStr">
        <is>
          <t>Flexible</t>
        </is>
      </c>
      <c r="R5" s="6" t="inlineStr">
        <is>
          <t>No EI span limit</t>
        </is>
      </c>
      <c r="S5" s="6" t="inlineStr"/>
      <c r="T5" s="12" t="inlineStr">
        <is>
          <t>Flexible</t>
        </is>
      </c>
      <c r="U5" s="6" t="inlineStr">
        <is>
          <t>No EI span limit</t>
        </is>
      </c>
      <c r="V5" s="6" t="inlineStr"/>
      <c r="W5" s="12" t="inlineStr">
        <is>
          <t>Flexible</t>
        </is>
      </c>
      <c r="X5" s="6" t="inlineStr">
        <is>
          <t>No EI span limit</t>
        </is>
      </c>
      <c r="Y5" s="6" t="inlineStr"/>
      <c r="Z5" s="12" t="inlineStr">
        <is>
          <t>Flexible</t>
        </is>
      </c>
      <c r="AA5" s="6" t="inlineStr">
        <is>
          <t>No EI span limit</t>
        </is>
      </c>
      <c r="AB5" s="6" t="inlineStr"/>
    </row>
    <row r="6">
      <c r="A6" s="5" t="n">
        <v>3</v>
      </c>
      <c r="B6" s="6" t="inlineStr">
        <is>
          <t>EL-001</t>
        </is>
      </c>
      <c r="C6" s="6" t="inlineStr">
        <is>
          <t>Elbow 90 Long</t>
        </is>
      </c>
      <c r="D6" s="6" t="inlineStr">
        <is>
          <t>8</t>
        </is>
      </c>
      <c r="E6" s="5" t="n">
        <v>219.07</v>
      </c>
      <c r="F6" s="5" t="n">
        <v>8.18</v>
      </c>
      <c r="G6" s="5" t="n">
        <v>202.7174</v>
      </c>
      <c r="H6" s="5" t="n">
        <v>13.1786</v>
      </c>
      <c r="I6" s="5" t="n">
        <v>15.53647</v>
      </c>
      <c r="J6" s="5" t="n">
        <v>2698.3</v>
      </c>
      <c r="K6" s="5" t="n">
        <v>1</v>
      </c>
      <c r="L6" s="5" t="n">
        <v>0.0936</v>
      </c>
      <c r="M6" s="5" t="n">
        <v>38357.2</v>
      </c>
      <c r="N6" s="5" t="n">
        <v>18625.8</v>
      </c>
      <c r="O6" s="5" t="n">
        <v>10593.9</v>
      </c>
      <c r="P6" s="5" t="n">
        <v>2615.6</v>
      </c>
      <c r="Q6" s="12" t="inlineStr">
        <is>
          <t>Flexible</t>
        </is>
      </c>
      <c r="R6" s="6" t="inlineStr">
        <is>
          <t>No EI span limit</t>
        </is>
      </c>
      <c r="S6" s="6" t="inlineStr"/>
      <c r="T6" s="12" t="inlineStr">
        <is>
          <t>Flexible</t>
        </is>
      </c>
      <c r="U6" s="6" t="inlineStr">
        <is>
          <t>No EI span limit</t>
        </is>
      </c>
      <c r="V6" s="6" t="inlineStr"/>
      <c r="W6" s="12" t="inlineStr">
        <is>
          <t>Flexible</t>
        </is>
      </c>
      <c r="X6" s="6" t="inlineStr">
        <is>
          <t>No EI span limit</t>
        </is>
      </c>
      <c r="Y6" s="6" t="inlineStr"/>
      <c r="Z6" s="12" t="inlineStr">
        <is>
          <t>Flexible</t>
        </is>
      </c>
      <c r="AA6" s="6" t="inlineStr">
        <is>
          <t>No EI span limit</t>
        </is>
      </c>
      <c r="AB6" s="6" t="inlineStr"/>
    </row>
    <row r="7">
      <c r="A7" s="5" t="n">
        <v>4</v>
      </c>
      <c r="B7" s="6" t="inlineStr">
        <is>
          <t>TEE-01</t>
        </is>
      </c>
      <c r="C7" s="6" t="inlineStr">
        <is>
          <t>Tee Split Line Flow</t>
        </is>
      </c>
      <c r="D7" s="6" t="inlineStr">
        <is>
          <t>8</t>
        </is>
      </c>
      <c r="E7" s="5" t="n">
        <v>219.07</v>
      </c>
      <c r="F7" s="5" t="n">
        <v>8.18</v>
      </c>
      <c r="G7" s="5" t="n">
        <v>202.7174</v>
      </c>
      <c r="H7" s="5" t="n">
        <v>7.912</v>
      </c>
      <c r="I7" s="5" t="n">
        <v>15.52734</v>
      </c>
      <c r="J7" s="5" t="n">
        <v>972</v>
      </c>
      <c r="K7" s="5" t="n">
        <v>1</v>
      </c>
      <c r="L7" s="5" t="n">
        <v>0.0936</v>
      </c>
      <c r="M7" s="5" t="n">
        <v>38357.2</v>
      </c>
      <c r="N7" s="5" t="n">
        <v>18625.8</v>
      </c>
      <c r="O7" s="5" t="n">
        <v>10593.9</v>
      </c>
      <c r="P7" s="5" t="n">
        <v>2615.6</v>
      </c>
      <c r="Q7" s="12" t="inlineStr">
        <is>
          <t>Flexible</t>
        </is>
      </c>
      <c r="R7" s="6" t="inlineStr">
        <is>
          <t>No EI span limit</t>
        </is>
      </c>
      <c r="S7" s="6" t="inlineStr"/>
      <c r="T7" s="12" t="inlineStr">
        <is>
          <t>Flexible</t>
        </is>
      </c>
      <c r="U7" s="6" t="inlineStr">
        <is>
          <t>No EI span limit</t>
        </is>
      </c>
      <c r="V7" s="6" t="inlineStr"/>
      <c r="W7" s="12" t="inlineStr">
        <is>
          <t>Flexible</t>
        </is>
      </c>
      <c r="X7" s="6" t="inlineStr">
        <is>
          <t>No EI span limit</t>
        </is>
      </c>
      <c r="Y7" s="6" t="inlineStr"/>
      <c r="Z7" s="12" t="inlineStr">
        <is>
          <t>Flexible</t>
        </is>
      </c>
      <c r="AA7" s="6" t="inlineStr">
        <is>
          <t>No EI span limit</t>
        </is>
      </c>
      <c r="AB7" s="6" t="inlineStr"/>
    </row>
    <row r="8">
      <c r="A8" s="5" t="n">
        <v>5</v>
      </c>
      <c r="B8" s="6" t="inlineStr">
        <is>
          <t>PSV-01</t>
        </is>
      </c>
      <c r="C8" s="6" t="inlineStr">
        <is>
          <t>Fix Pressure</t>
        </is>
      </c>
      <c r="D8" s="6" t="inlineStr">
        <is>
          <t>8</t>
        </is>
      </c>
      <c r="E8" s="5" t="n">
        <v>219.07</v>
      </c>
      <c r="F8" s="5" t="n">
        <v>8.18</v>
      </c>
      <c r="G8" s="5" t="n">
        <v>202.7174</v>
      </c>
      <c r="H8" s="5" t="n">
        <v>0</v>
      </c>
      <c r="I8" s="5" t="n">
        <v>0</v>
      </c>
      <c r="J8" s="5" t="n">
        <v>0</v>
      </c>
      <c r="K8" s="5" t="n">
        <v>1</v>
      </c>
      <c r="L8" s="5" t="n">
        <v>0.0936</v>
      </c>
      <c r="M8" s="5" t="n">
        <v>38357.2</v>
      </c>
      <c r="N8" s="5" t="n">
        <v>18625.8</v>
      </c>
      <c r="O8" s="5" t="n">
        <v>10593.9</v>
      </c>
      <c r="P8" s="5" t="n">
        <v>2615.6</v>
      </c>
      <c r="Q8" s="12" t="inlineStr">
        <is>
          <t>Flexible</t>
        </is>
      </c>
      <c r="R8" s="6" t="inlineStr">
        <is>
          <t>No EI span limit</t>
        </is>
      </c>
      <c r="S8" s="6" t="inlineStr"/>
      <c r="T8" s="12" t="inlineStr">
        <is>
          <t>Flexible</t>
        </is>
      </c>
      <c r="U8" s="6" t="inlineStr">
        <is>
          <t>No EI span limit</t>
        </is>
      </c>
      <c r="V8" s="6" t="inlineStr"/>
      <c r="W8" s="12" t="inlineStr">
        <is>
          <t>Flexible</t>
        </is>
      </c>
      <c r="X8" s="6" t="inlineStr">
        <is>
          <t>No EI span limit</t>
        </is>
      </c>
      <c r="Y8" s="6" t="inlineStr"/>
      <c r="Z8" s="12" t="inlineStr">
        <is>
          <t>Flexible</t>
        </is>
      </c>
      <c r="AA8" s="6" t="inlineStr">
        <is>
          <t>No EI span limit</t>
        </is>
      </c>
      <c r="AB8" s="6" t="inlineStr"/>
    </row>
    <row r="9" ht="14" customHeight="1">
      <c r="A9" s="8" t="inlineStr">
        <is>
          <t xml:space="preserve">  ▶  LINE: H-284</t>
        </is>
      </c>
    </row>
    <row r="10">
      <c r="A10" s="9" t="n">
        <v>1</v>
      </c>
      <c r="B10" s="10" t="inlineStr">
        <is>
          <t>P-002</t>
        </is>
      </c>
      <c r="C10" s="10" t="inlineStr">
        <is>
          <t>Straight Pipeline</t>
        </is>
      </c>
      <c r="D10" s="10" t="inlineStr">
        <is>
          <t>8</t>
        </is>
      </c>
      <c r="E10" s="9" t="n">
        <v>219.07</v>
      </c>
      <c r="F10" s="9" t="n">
        <v>8.18</v>
      </c>
      <c r="G10" s="9" t="n">
        <v>202.7174</v>
      </c>
      <c r="H10" s="9" t="n">
        <v>8.202500000000001</v>
      </c>
      <c r="I10" s="9" t="n">
        <v>14.97742</v>
      </c>
      <c r="J10" s="9" t="n">
        <v>1007.7</v>
      </c>
      <c r="K10" s="9" t="n">
        <v>1</v>
      </c>
      <c r="L10" s="9" t="n">
        <v>0.0936</v>
      </c>
      <c r="M10" s="9" t="n">
        <v>38357.2</v>
      </c>
      <c r="N10" s="9" t="n">
        <v>18625.8</v>
      </c>
      <c r="O10" s="9" t="n">
        <v>10593.9</v>
      </c>
      <c r="P10" s="9" t="n">
        <v>2615.6</v>
      </c>
      <c r="Q10" s="12" t="inlineStr">
        <is>
          <t>Flexible</t>
        </is>
      </c>
      <c r="R10" s="10" t="inlineStr">
        <is>
          <t>No EI span limit</t>
        </is>
      </c>
      <c r="S10" s="10" t="inlineStr"/>
      <c r="T10" s="12" t="inlineStr">
        <is>
          <t>Flexible</t>
        </is>
      </c>
      <c r="U10" s="10" t="inlineStr">
        <is>
          <t>No EI span limit</t>
        </is>
      </c>
      <c r="V10" s="10" t="inlineStr"/>
      <c r="W10" s="12" t="inlineStr">
        <is>
          <t>Flexible</t>
        </is>
      </c>
      <c r="X10" s="10" t="inlineStr">
        <is>
          <t>No EI span limit</t>
        </is>
      </c>
      <c r="Y10" s="10" t="inlineStr"/>
      <c r="Z10" s="12" t="inlineStr">
        <is>
          <t>Flexible</t>
        </is>
      </c>
      <c r="AA10" s="10" t="inlineStr">
        <is>
          <t>No EI span limit</t>
        </is>
      </c>
      <c r="AB10" s="10" t="inlineStr"/>
    </row>
    <row r="11">
      <c r="A11" s="9" t="n">
        <v>2</v>
      </c>
      <c r="B11" s="10" t="inlineStr">
        <is>
          <t>EL-002</t>
        </is>
      </c>
      <c r="C11" s="10" t="inlineStr">
        <is>
          <t>Elbow 90 Long</t>
        </is>
      </c>
      <c r="D11" s="10" t="inlineStr">
        <is>
          <t>8</t>
        </is>
      </c>
      <c r="E11" s="9" t="n">
        <v>219.07</v>
      </c>
      <c r="F11" s="9" t="n">
        <v>8.18</v>
      </c>
      <c r="G11" s="9" t="n">
        <v>202.7174</v>
      </c>
      <c r="H11" s="9" t="n">
        <v>8.2064</v>
      </c>
      <c r="I11" s="9" t="n">
        <v>14.97005</v>
      </c>
      <c r="J11" s="9" t="n">
        <v>1008.2</v>
      </c>
      <c r="K11" s="9" t="n">
        <v>1</v>
      </c>
      <c r="L11" s="9" t="n">
        <v>0.0936</v>
      </c>
      <c r="M11" s="9" t="n">
        <v>38357.2</v>
      </c>
      <c r="N11" s="9" t="n">
        <v>18625.8</v>
      </c>
      <c r="O11" s="9" t="n">
        <v>10593.9</v>
      </c>
      <c r="P11" s="9" t="n">
        <v>2615.6</v>
      </c>
      <c r="Q11" s="12" t="inlineStr">
        <is>
          <t>Flexible</t>
        </is>
      </c>
      <c r="R11" s="10" t="inlineStr">
        <is>
          <t>No EI span limit</t>
        </is>
      </c>
      <c r="S11" s="10" t="inlineStr"/>
      <c r="T11" s="12" t="inlineStr">
        <is>
          <t>Flexible</t>
        </is>
      </c>
      <c r="U11" s="10" t="inlineStr">
        <is>
          <t>No EI span limit</t>
        </is>
      </c>
      <c r="V11" s="10" t="inlineStr"/>
      <c r="W11" s="12" t="inlineStr">
        <is>
          <t>Flexible</t>
        </is>
      </c>
      <c r="X11" s="10" t="inlineStr">
        <is>
          <t>No EI span limit</t>
        </is>
      </c>
      <c r="Y11" s="10" t="inlineStr"/>
      <c r="Z11" s="12" t="inlineStr">
        <is>
          <t>Flexible</t>
        </is>
      </c>
      <c r="AA11" s="10" t="inlineStr">
        <is>
          <t>No EI span limit</t>
        </is>
      </c>
      <c r="AB11" s="10" t="inlineStr"/>
    </row>
    <row r="12">
      <c r="A12" s="9" t="n">
        <v>3</v>
      </c>
      <c r="B12" s="10" t="inlineStr">
        <is>
          <t>VLV-01</t>
        </is>
      </c>
      <c r="C12" s="10" t="inlineStr">
        <is>
          <t>Fix K</t>
        </is>
      </c>
      <c r="D12" s="10" t="inlineStr">
        <is>
          <t>8</t>
        </is>
      </c>
      <c r="E12" s="9" t="n">
        <v>219.07</v>
      </c>
      <c r="F12" s="9" t="n">
        <v>8.18</v>
      </c>
      <c r="G12" s="9" t="n">
        <v>202.7174</v>
      </c>
      <c r="H12" s="9" t="n">
        <v>8.208299999999999</v>
      </c>
      <c r="I12" s="9" t="n">
        <v>14.96669</v>
      </c>
      <c r="J12" s="9" t="n">
        <v>1008.4</v>
      </c>
      <c r="K12" s="9" t="n">
        <v>1</v>
      </c>
      <c r="L12" s="9" t="n">
        <v>0.0936</v>
      </c>
      <c r="M12" s="9" t="n">
        <v>38357.2</v>
      </c>
      <c r="N12" s="9" t="n">
        <v>18625.8</v>
      </c>
      <c r="O12" s="9" t="n">
        <v>10593.9</v>
      </c>
      <c r="P12" s="9" t="n">
        <v>2615.6</v>
      </c>
      <c r="Q12" s="12" t="inlineStr">
        <is>
          <t>Flexible</t>
        </is>
      </c>
      <c r="R12" s="10" t="inlineStr">
        <is>
          <t>No EI span limit</t>
        </is>
      </c>
      <c r="S12" s="10" t="inlineStr"/>
      <c r="T12" s="12" t="inlineStr">
        <is>
          <t>Flexible</t>
        </is>
      </c>
      <c r="U12" s="10" t="inlineStr">
        <is>
          <t>No EI span limit</t>
        </is>
      </c>
      <c r="V12" s="10" t="inlineStr"/>
      <c r="W12" s="12" t="inlineStr">
        <is>
          <t>Flexible</t>
        </is>
      </c>
      <c r="X12" s="10" t="inlineStr">
        <is>
          <t>No EI span limit</t>
        </is>
      </c>
      <c r="Y12" s="10" t="inlineStr"/>
      <c r="Z12" s="12" t="inlineStr">
        <is>
          <t>Flexible</t>
        </is>
      </c>
      <c r="AA12" s="10" t="inlineStr">
        <is>
          <t>No EI span limit</t>
        </is>
      </c>
      <c r="AB12" s="10" t="inlineStr"/>
    </row>
    <row r="15">
      <c r="A15" s="11" t="inlineStr">
        <is>
          <t>CONTROLLING (max ρv²)</t>
        </is>
      </c>
      <c r="C15" s="12" t="inlineStr">
        <is>
          <t>EL-001 / Elbow 90 Long  |  ρv²=2698  GVF=1.000  FCF=0.094  |  LOF≤0.15: Flexible  LOF≤0.25: Flexible  LOF≤0.35: Flexible  LOF≤0.45: Flexible</t>
        </is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1" t="n"/>
    </row>
    <row r="17">
      <c r="A17" s="32" t="inlineStr"/>
    </row>
    <row r="18">
      <c r="A18" s="33" t="inlineStr">
        <is>
          <t>METHOD — Energy Institute T2.2 screening (SI units).</t>
        </is>
      </c>
    </row>
    <row r="19">
      <c r="A19" s="32" t="inlineStr">
        <is>
          <t xml:space="preserve">  ρv² = ρ·v²  (effective mixture density × effective velocity²).</t>
        </is>
      </c>
    </row>
    <row r="20">
      <c r="A20" s="32" t="inlineStr">
        <is>
          <t xml:space="preserve">  FCF: GVF&lt;0.2 → 0.2+4·GVF;  0.2–0.88 → 1;  0.88–0.99 → −27.882·GVF²+45.545·GVF−17.495;  ≥0.99 → √(µgas/1.2e-3).</t>
        </is>
      </c>
    </row>
    <row r="21">
      <c r="A21" s="32" t="inlineStr">
        <is>
          <t xml:space="preserve">  Fv per support arrangement = α·(D/T)^β  (Medium/Flexible ≤DN200 use exp(α·(D/T)^β)).  D=OD mm, T=wall mm.</t>
        </is>
      </c>
    </row>
    <row r="22">
      <c r="A22" s="32" t="inlineStr">
        <is>
          <t xml:space="preserve">  LOF = ρv²·FCF / Fv.   For each LOF limit the least-stiff support arrangement whose Fv keeps LOF ≤ limit is reported, with its max span.</t>
        </is>
      </c>
    </row>
    <row r="23">
      <c r="A23" s="32" t="inlineStr">
        <is>
          <t xml:space="preserve">  LOF limits screened: 0.15, 0.25, 0.35, 0.45.</t>
        </is>
      </c>
    </row>
    <row r="24">
      <c r="A24" s="32" t="inlineStr">
        <is>
          <t xml:space="preserve">  'No EI span limit' = even a Flexible arrangement satisfies the limit. 'Not achievable' = even Stiff cannot.</t>
        </is>
      </c>
    </row>
    <row r="25">
      <c r="A25" s="32" t="inlineStr">
        <is>
          <t>VERIFY against the contracted EI guideline edition before design use.</t>
        </is>
      </c>
    </row>
  </sheetData>
  <mergeCells count="4">
    <mergeCell ref="A3:AB3"/>
    <mergeCell ref="C15:AB15"/>
    <mergeCell ref="A1:AB1"/>
    <mergeCell ref="A9:A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9" customWidth="1" min="4" max="4"/>
    <col width="9" customWidth="1" min="5" max="5"/>
    <col width="15" customWidth="1" min="6" max="6"/>
    <col width="14" customWidth="1" min="7" max="7"/>
    <col width="13" customWidth="1" min="8" max="8"/>
    <col width="11" customWidth="1" min="9" max="9"/>
    <col width="11" customWidth="1" min="10" max="10"/>
    <col width="13" customWidth="1" min="11" max="11"/>
    <col width="10" customWidth="1" min="12" max="12"/>
    <col width="18" customWidth="1" min="13" max="13"/>
  </cols>
  <sheetData>
    <row r="1" ht="22" customHeight="1">
      <c r="A1" s="13" t="inlineStr">
        <is>
          <t>AIV — source attenuation   |   Line Circuit C1  (ER-162, H-284) &lt;-&gt; Stream T801-OH   |   η=0.0001   |   11-Jun-2026 17:58</t>
        </is>
      </c>
    </row>
    <row r="2">
      <c r="A2" s="11" t="inlineStr">
        <is>
          <t>SOURCE</t>
        </is>
      </c>
      <c r="B2" s="12" t="inlineStr">
        <is>
          <t>PSV-01 / Fix Pressure  |  Δp=24.1317 kPa  |  W_acoustic=0 W  |  PWL=0.0 dB</t>
        </is>
      </c>
    </row>
    <row r="3" ht="32" customHeight="1">
      <c r="A3" s="2" t="inlineStr">
        <is>
          <t>Seq</t>
        </is>
      </c>
      <c r="B3" s="2" t="inlineStr">
        <is>
          <t>Comp ID</t>
        </is>
      </c>
      <c r="C3" s="2" t="inlineStr">
        <is>
          <t>Fitting</t>
        </is>
      </c>
      <c r="D3" s="2" t="inlineStr">
        <is>
          <t>OD (mm)</t>
        </is>
      </c>
      <c r="E3" s="2" t="inlineStr">
        <is>
          <t>Wall (mm)</t>
        </is>
      </c>
      <c r="F3" s="2" t="inlineStr">
        <is>
          <t>Dist from src (m)</t>
        </is>
      </c>
      <c r="G3" s="2" t="inlineStr">
        <is>
          <t>Cum. atten (dB)</t>
        </is>
      </c>
      <c r="H3" s="2" t="inlineStr">
        <is>
          <t>Local PWL (dB)</t>
        </is>
      </c>
      <c r="I3" s="2" t="inlineStr">
        <is>
          <t>C-M param</t>
        </is>
      </c>
      <c r="J3" s="2" t="inlineStr">
        <is>
          <t>C-M screen</t>
        </is>
      </c>
      <c r="K3" s="2" t="inlineStr">
        <is>
          <t>EI likelihood</t>
        </is>
      </c>
      <c r="L3" s="2" t="inlineStr">
        <is>
          <t>EI risk</t>
        </is>
      </c>
      <c r="M3" s="2" t="inlineStr">
        <is>
          <t>Dyn. stress idx (MPa)</t>
        </is>
      </c>
    </row>
    <row r="4" ht="14" customHeight="1">
      <c r="A4" s="4" t="inlineStr">
        <is>
          <t xml:space="preserve">  ▶  LINE: ER-162</t>
        </is>
      </c>
    </row>
    <row r="5">
      <c r="A5" s="5" t="n">
        <v>5</v>
      </c>
      <c r="B5" s="6" t="inlineStr">
        <is>
          <t>PSV-01</t>
        </is>
      </c>
      <c r="C5" s="6" t="inlineStr">
        <is>
          <t>Fix Pressure</t>
        </is>
      </c>
      <c r="D5" s="5" t="n">
        <v>219.1</v>
      </c>
      <c r="E5" s="5" t="n">
        <v>8.18</v>
      </c>
      <c r="F5" s="5" t="n">
        <v>0</v>
      </c>
      <c r="G5" s="5" t="n">
        <v>0</v>
      </c>
      <c r="H5" s="5" t="n">
        <v>0</v>
      </c>
      <c r="I5" s="5" t="n">
        <v>23.4</v>
      </c>
      <c r="J5" s="12" t="inlineStr">
        <is>
          <t>LOW</t>
        </is>
      </c>
      <c r="K5" s="5" t="n">
        <v>28.6</v>
      </c>
      <c r="L5" s="12" t="inlineStr">
        <is>
          <t>LOW</t>
        </is>
      </c>
      <c r="M5" s="5" t="n">
        <v>9.199999999999999</v>
      </c>
    </row>
    <row r="6" ht="14" customHeight="1">
      <c r="A6" s="8" t="inlineStr">
        <is>
          <t xml:space="preserve">  ▶  LINE: H-284</t>
        </is>
      </c>
    </row>
    <row r="7">
      <c r="A7" s="9" t="n">
        <v>1</v>
      </c>
      <c r="B7" s="10" t="inlineStr">
        <is>
          <t>P-002</t>
        </is>
      </c>
      <c r="C7" s="10" t="inlineStr">
        <is>
          <t>Straight Pipeline</t>
        </is>
      </c>
      <c r="D7" s="9" t="n">
        <v>219.1</v>
      </c>
      <c r="E7" s="9" t="n">
        <v>8.18</v>
      </c>
      <c r="F7" s="9" t="n">
        <v>9.140000000000001</v>
      </c>
      <c r="G7" s="9" t="n">
        <v>1.83</v>
      </c>
      <c r="H7" s="9" t="n">
        <v>-1.8</v>
      </c>
      <c r="I7" s="9" t="n">
        <v>21.6</v>
      </c>
      <c r="J7" s="12" t="inlineStr">
        <is>
          <t>LOW</t>
        </is>
      </c>
      <c r="K7" s="9" t="n">
        <v>26.7</v>
      </c>
      <c r="L7" s="12" t="inlineStr">
        <is>
          <t>LOW</t>
        </is>
      </c>
      <c r="M7" s="9" t="n">
        <v>8.9</v>
      </c>
    </row>
    <row r="8">
      <c r="A8" s="9" t="n">
        <v>2</v>
      </c>
      <c r="B8" s="10" t="inlineStr">
        <is>
          <t>EL-002</t>
        </is>
      </c>
      <c r="C8" s="10" t="inlineStr">
        <is>
          <t>Elbow 90 Long</t>
        </is>
      </c>
      <c r="D8" s="9" t="n">
        <v>219.1</v>
      </c>
      <c r="E8" s="9" t="n">
        <v>8.18</v>
      </c>
      <c r="F8" s="9" t="n">
        <v>9.140000000000001</v>
      </c>
      <c r="G8" s="9" t="n">
        <v>3.83</v>
      </c>
      <c r="H8" s="9" t="n">
        <v>-3.8</v>
      </c>
      <c r="I8" s="9" t="n">
        <v>19.6</v>
      </c>
      <c r="J8" s="12" t="inlineStr">
        <is>
          <t>LOW</t>
        </is>
      </c>
      <c r="K8" s="9" t="n">
        <v>24.7</v>
      </c>
      <c r="L8" s="12" t="inlineStr">
        <is>
          <t>LOW</t>
        </is>
      </c>
      <c r="M8" s="9" t="n">
        <v>8.9</v>
      </c>
    </row>
    <row r="9">
      <c r="A9" s="9" t="n">
        <v>3</v>
      </c>
      <c r="B9" s="10" t="inlineStr">
        <is>
          <t>VLV-01</t>
        </is>
      </c>
      <c r="C9" s="10" t="inlineStr">
        <is>
          <t>Fix K</t>
        </is>
      </c>
      <c r="D9" s="9" t="n">
        <v>219.1</v>
      </c>
      <c r="E9" s="9" t="n">
        <v>8.18</v>
      </c>
      <c r="F9" s="9" t="n">
        <v>9.140000000000001</v>
      </c>
      <c r="G9" s="9" t="n">
        <v>3.83</v>
      </c>
      <c r="H9" s="9" t="n">
        <v>-3.8</v>
      </c>
      <c r="I9" s="9" t="n">
        <v>19.6</v>
      </c>
      <c r="J9" s="12" t="inlineStr">
        <is>
          <t>LOW</t>
        </is>
      </c>
      <c r="K9" s="9" t="n">
        <v>24.7</v>
      </c>
      <c r="L9" s="12" t="inlineStr">
        <is>
          <t>LOW</t>
        </is>
      </c>
      <c r="M9" s="9" t="n">
        <v>8.9</v>
      </c>
    </row>
    <row r="12">
      <c r="A12" s="33" t="inlineStr">
        <is>
          <t>METHOD — AIV with source attenuation.</t>
        </is>
      </c>
    </row>
    <row r="13">
      <c r="A13" s="32" t="inlineStr">
        <is>
          <t xml:space="preserve">  Source = the component with the largest Δp (pressure letdown).</t>
        </is>
      </c>
    </row>
    <row r="14">
      <c r="A14" s="32" t="inlineStr">
        <is>
          <t xml:space="preserve">  Acoustic power W = η · ṁ·Δp/ρ ;  PWL = 10·log10(W/1e-12).</t>
        </is>
      </c>
    </row>
    <row r="15">
      <c r="A15" s="32" t="inlineStr">
        <is>
          <t xml:space="preserve">  Attenuation from source: 0.2 dB/m straight pipe + 2 dB/elbow, 5 dB/tee, 2 dB/reducer.  Local PWL = source PWL − cumulative attenuation.</t>
        </is>
      </c>
    </row>
    <row r="16">
      <c r="A16" s="32" t="inlineStr">
        <is>
          <t xml:space="preserve">  Carucci-Mueller: param = PWL + 10·log10(D_mm);  &lt;145 LOW, &lt;155 MED, ≥155 HIGH.</t>
        </is>
      </c>
    </row>
    <row r="17">
      <c r="A17" s="32" t="inlineStr">
        <is>
          <t xml:space="preserve">  EI likelihood: PWL + 20·log10(D/t);  &lt;160 LOW, &lt;170 MED, ≥170 HIGH.</t>
        </is>
      </c>
    </row>
    <row r="18">
      <c r="A18" s="32" t="inlineStr">
        <is>
          <t xml:space="preserve">  η (acoustic efficiency) = 0.0001; calibrate to the device.</t>
        </is>
      </c>
    </row>
    <row r="19">
      <c r="A19" s="32" t="inlineStr">
        <is>
          <t>VERIFY source location and η against the design basis before use.</t>
        </is>
      </c>
    </row>
  </sheetData>
  <mergeCells count="4">
    <mergeCell ref="A4:M4"/>
    <mergeCell ref="B2:M2"/>
    <mergeCell ref="A6:M6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R2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9" customWidth="1" min="10" max="10"/>
    <col width="18" customWidth="1" min="11" max="11"/>
    <col width="14" customWidth="1" min="12" max="12"/>
    <col width="16" customWidth="1" min="13" max="13"/>
    <col width="15" customWidth="1" min="14" max="14"/>
    <col width="18" customWidth="1" min="15" max="15"/>
    <col width="13" customWidth="1" min="16" max="16"/>
    <col width="11" customWidth="1" min="17" max="17"/>
    <col width="16" customWidth="1" min="18" max="18"/>
  </cols>
  <sheetData>
    <row r="1">
      <c r="A1" s="34" t="inlineStr">
        <is>
          <t>Two-Phase Flow Regime Map   |   Line Circuit C1  (ER-162, H-284) &lt;-&gt; Stream T801-OH   |   11-Jun-2026 17:58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1" t="n"/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(mm)</t>
        </is>
      </c>
      <c r="E2" s="2" t="inlineStr">
        <is>
          <t>Incl (°)</t>
        </is>
      </c>
      <c r="F2" s="2" t="inlineStr">
        <is>
          <t>Vsg (m/s)</t>
        </is>
      </c>
      <c r="G2" s="2" t="inlineStr">
        <is>
          <t>Vsl (m/s)</t>
        </is>
      </c>
      <c r="H2" s="2" t="inlineStr">
        <is>
          <t>Vm (m/s)</t>
        </is>
      </c>
      <c r="I2" s="2" t="inlineStr">
        <is>
          <t>GVF</t>
        </is>
      </c>
      <c r="J2" s="2" t="inlineStr">
        <is>
          <t>Taitel-Dukler (horiz)</t>
        </is>
      </c>
      <c r="K2" s="2" t="inlineStr">
        <is>
          <t>Taitel-Barnea (vert)</t>
        </is>
      </c>
      <c r="L2" s="2" t="inlineStr">
        <is>
          <t>Baker (horiz)</t>
        </is>
      </c>
      <c r="M2" s="2" t="inlineStr">
        <is>
          <t>Hewitt-Roberts (vert)</t>
        </is>
      </c>
      <c r="N2" s="2" t="inlineStr">
        <is>
          <t>Barnea unified</t>
        </is>
      </c>
      <c r="O2" s="2" t="inlineStr">
        <is>
          <t>Shell DEP / Beggs-Brill</t>
        </is>
      </c>
      <c r="P2" s="2" t="inlineStr">
        <is>
          <t>Slug freq (/min)</t>
        </is>
      </c>
      <c r="Q2" s="2" t="inlineStr">
        <is>
          <t>Slug holdup</t>
        </is>
      </c>
      <c r="R2" s="2" t="inlineStr">
        <is>
          <t>Slug force @bend (N)</t>
        </is>
      </c>
    </row>
    <row r="3">
      <c r="A3" s="35" t="n">
        <v>1</v>
      </c>
      <c r="B3" s="35" t="inlineStr">
        <is>
          <t>ENT-01</t>
        </is>
      </c>
      <c r="C3" s="35" t="inlineStr">
        <is>
          <t>Pipeline Entrance - Sharp Edge</t>
        </is>
      </c>
      <c r="D3" s="35" t="n">
        <v>202.717</v>
      </c>
      <c r="E3" s="35" t="n">
        <v>0</v>
      </c>
      <c r="F3" s="35" t="n">
        <v>13.14</v>
      </c>
      <c r="G3" s="35" t="n">
        <v>0</v>
      </c>
      <c r="H3" s="35" t="n">
        <v>13.14</v>
      </c>
      <c r="I3" s="35" t="n">
        <v>1</v>
      </c>
      <c r="J3" s="36" t="inlineStr">
        <is>
          <t>Single-phase gas</t>
        </is>
      </c>
      <c r="K3" s="36" t="inlineStr">
        <is>
          <t>Single-phase gas</t>
        </is>
      </c>
      <c r="L3" s="36" t="inlineStr">
        <is>
          <t>Single-phase gas</t>
        </is>
      </c>
      <c r="M3" s="36" t="inlineStr">
        <is>
          <t>Single-phase gas</t>
        </is>
      </c>
      <c r="N3" s="36" t="inlineStr">
        <is>
          <t>Single-phase gas</t>
        </is>
      </c>
      <c r="O3" s="36" t="inlineStr">
        <is>
          <t>Single-phase gas</t>
        </is>
      </c>
      <c r="P3" s="35" t="inlineStr">
        <is>
          <t>—</t>
        </is>
      </c>
      <c r="Q3" s="35" t="inlineStr">
        <is>
          <t>—</t>
        </is>
      </c>
      <c r="R3" s="35" t="inlineStr">
        <is>
          <t>—</t>
        </is>
      </c>
    </row>
    <row r="4">
      <c r="A4" s="35" t="n">
        <v>2</v>
      </c>
      <c r="B4" s="35" t="inlineStr">
        <is>
          <t>P-001</t>
        </is>
      </c>
      <c r="C4" s="35" t="inlineStr">
        <is>
          <t>Straight Pipeline</t>
        </is>
      </c>
      <c r="D4" s="35" t="n">
        <v>202.717</v>
      </c>
      <c r="E4" s="35" t="n">
        <v>-2.3</v>
      </c>
      <c r="F4" s="35" t="n">
        <v>13.153</v>
      </c>
      <c r="G4" s="35" t="n">
        <v>0</v>
      </c>
      <c r="H4" s="35" t="n">
        <v>13.153</v>
      </c>
      <c r="I4" s="35" t="n">
        <v>1</v>
      </c>
      <c r="J4" s="36" t="inlineStr">
        <is>
          <t>Single-phase gas</t>
        </is>
      </c>
      <c r="K4" s="36" t="inlineStr">
        <is>
          <t>Single-phase gas</t>
        </is>
      </c>
      <c r="L4" s="36" t="inlineStr">
        <is>
          <t>Single-phase gas</t>
        </is>
      </c>
      <c r="M4" s="36" t="inlineStr">
        <is>
          <t>Single-phase gas</t>
        </is>
      </c>
      <c r="N4" s="36" t="inlineStr">
        <is>
          <t>Single-phase gas</t>
        </is>
      </c>
      <c r="O4" s="36" t="inlineStr">
        <is>
          <t>Single-phase gas</t>
        </is>
      </c>
      <c r="P4" s="35" t="inlineStr">
        <is>
          <t>—</t>
        </is>
      </c>
      <c r="Q4" s="35" t="inlineStr">
        <is>
          <t>—</t>
        </is>
      </c>
      <c r="R4" s="35" t="inlineStr">
        <is>
          <t>—</t>
        </is>
      </c>
    </row>
    <row r="5">
      <c r="A5" s="35" t="n">
        <v>3</v>
      </c>
      <c r="B5" s="35" t="inlineStr">
        <is>
          <t>EL-001</t>
        </is>
      </c>
      <c r="C5" s="35" t="inlineStr">
        <is>
          <t>Elbow 90 Long</t>
        </is>
      </c>
      <c r="D5" s="35" t="n">
        <v>202.717</v>
      </c>
      <c r="E5" s="35" t="n">
        <v>0</v>
      </c>
      <c r="F5" s="35" t="n">
        <v>13.179</v>
      </c>
      <c r="G5" s="35" t="n">
        <v>0</v>
      </c>
      <c r="H5" s="35" t="n">
        <v>13.179</v>
      </c>
      <c r="I5" s="35" t="n">
        <v>1</v>
      </c>
      <c r="J5" s="36" t="inlineStr">
        <is>
          <t>Single-phase gas</t>
        </is>
      </c>
      <c r="K5" s="36" t="inlineStr">
        <is>
          <t>Single-phase gas</t>
        </is>
      </c>
      <c r="L5" s="36" t="inlineStr">
        <is>
          <t>Single-phase gas</t>
        </is>
      </c>
      <c r="M5" s="36" t="inlineStr">
        <is>
          <t>Single-phase gas</t>
        </is>
      </c>
      <c r="N5" s="36" t="inlineStr">
        <is>
          <t>Single-phase gas</t>
        </is>
      </c>
      <c r="O5" s="36" t="inlineStr">
        <is>
          <t>Single-phase gas</t>
        </is>
      </c>
      <c r="P5" s="35" t="inlineStr">
        <is>
          <t>—</t>
        </is>
      </c>
      <c r="Q5" s="35" t="inlineStr">
        <is>
          <t>—</t>
        </is>
      </c>
      <c r="R5" s="35" t="inlineStr">
        <is>
          <t>—</t>
        </is>
      </c>
    </row>
    <row r="6">
      <c r="A6" s="35" t="n">
        <v>4</v>
      </c>
      <c r="B6" s="35" t="inlineStr">
        <is>
          <t>TEE-01</t>
        </is>
      </c>
      <c r="C6" s="35" t="inlineStr">
        <is>
          <t>Tee Split Line Flow</t>
        </is>
      </c>
      <c r="D6" s="35" t="n">
        <v>202.717</v>
      </c>
      <c r="E6" s="35" t="n">
        <v>0</v>
      </c>
      <c r="F6" s="35" t="n">
        <v>13.187</v>
      </c>
      <c r="G6" s="35" t="n">
        <v>0</v>
      </c>
      <c r="H6" s="35" t="n">
        <v>13.187</v>
      </c>
      <c r="I6" s="35" t="n">
        <v>1</v>
      </c>
      <c r="J6" s="36" t="inlineStr">
        <is>
          <t>Single-phase gas</t>
        </is>
      </c>
      <c r="K6" s="36" t="inlineStr">
        <is>
          <t>Single-phase gas</t>
        </is>
      </c>
      <c r="L6" s="36" t="inlineStr">
        <is>
          <t>Single-phase gas</t>
        </is>
      </c>
      <c r="M6" s="36" t="inlineStr">
        <is>
          <t>Single-phase gas</t>
        </is>
      </c>
      <c r="N6" s="36" t="inlineStr">
        <is>
          <t>Single-phase gas</t>
        </is>
      </c>
      <c r="O6" s="36" t="inlineStr">
        <is>
          <t>Single-phase gas</t>
        </is>
      </c>
      <c r="P6" s="35" t="inlineStr">
        <is>
          <t>—</t>
        </is>
      </c>
      <c r="Q6" s="35" t="inlineStr">
        <is>
          <t>—</t>
        </is>
      </c>
      <c r="R6" s="35" t="inlineStr">
        <is>
          <t>—</t>
        </is>
      </c>
    </row>
    <row r="7">
      <c r="A7" s="35" t="n">
        <v>5</v>
      </c>
      <c r="B7" s="35" t="inlineStr">
        <is>
          <t>PSV-01</t>
        </is>
      </c>
      <c r="C7" s="35" t="inlineStr">
        <is>
          <t>Fix Pressure</t>
        </is>
      </c>
      <c r="D7" s="35" t="n">
        <v>202.717</v>
      </c>
      <c r="E7" s="35" t="n">
        <v>0</v>
      </c>
      <c r="F7" s="35" t="n">
        <v>13.19</v>
      </c>
      <c r="G7" s="35" t="n">
        <v>0</v>
      </c>
      <c r="H7" s="35" t="n">
        <v>13.19</v>
      </c>
      <c r="I7" s="35" t="n">
        <v>1</v>
      </c>
      <c r="J7" s="36" t="inlineStr">
        <is>
          <t>Single-phase gas</t>
        </is>
      </c>
      <c r="K7" s="36" t="inlineStr">
        <is>
          <t>Single-phase gas</t>
        </is>
      </c>
      <c r="L7" s="36" t="inlineStr">
        <is>
          <t>Single-phase gas</t>
        </is>
      </c>
      <c r="M7" s="36" t="inlineStr">
        <is>
          <t>Single-phase gas</t>
        </is>
      </c>
      <c r="N7" s="36" t="inlineStr">
        <is>
          <t>Single-phase gas</t>
        </is>
      </c>
      <c r="O7" s="36" t="inlineStr">
        <is>
          <t>Single-phase gas</t>
        </is>
      </c>
      <c r="P7" s="35" t="inlineStr">
        <is>
          <t>—</t>
        </is>
      </c>
      <c r="Q7" s="35" t="inlineStr">
        <is>
          <t>—</t>
        </is>
      </c>
      <c r="R7" s="35" t="inlineStr">
        <is>
          <t>—</t>
        </is>
      </c>
    </row>
    <row r="8">
      <c r="A8" s="35" t="n">
        <v>1</v>
      </c>
      <c r="B8" s="35" t="inlineStr">
        <is>
          <t>P-002</t>
        </is>
      </c>
      <c r="C8" s="35" t="inlineStr">
        <is>
          <t>Straight Pipeline</t>
        </is>
      </c>
      <c r="D8" s="35" t="n">
        <v>202.717</v>
      </c>
      <c r="E8" s="35" t="n">
        <v>0</v>
      </c>
      <c r="F8" s="35" t="n">
        <v>13.671</v>
      </c>
      <c r="G8" s="35" t="n">
        <v>0</v>
      </c>
      <c r="H8" s="35" t="n">
        <v>13.671</v>
      </c>
      <c r="I8" s="35" t="n">
        <v>1</v>
      </c>
      <c r="J8" s="36" t="inlineStr">
        <is>
          <t>Single-phase gas</t>
        </is>
      </c>
      <c r="K8" s="36" t="inlineStr">
        <is>
          <t>Single-phase gas</t>
        </is>
      </c>
      <c r="L8" s="36" t="inlineStr">
        <is>
          <t>Single-phase gas</t>
        </is>
      </c>
      <c r="M8" s="36" t="inlineStr">
        <is>
          <t>Single-phase gas</t>
        </is>
      </c>
      <c r="N8" s="36" t="inlineStr">
        <is>
          <t>Single-phase gas</t>
        </is>
      </c>
      <c r="O8" s="36" t="inlineStr">
        <is>
          <t>Single-phase gas</t>
        </is>
      </c>
      <c r="P8" s="35" t="inlineStr">
        <is>
          <t>—</t>
        </is>
      </c>
      <c r="Q8" s="35" t="inlineStr">
        <is>
          <t>—</t>
        </is>
      </c>
      <c r="R8" s="35" t="inlineStr">
        <is>
          <t>—</t>
        </is>
      </c>
    </row>
    <row r="9">
      <c r="A9" s="35" t="n">
        <v>2</v>
      </c>
      <c r="B9" s="35" t="inlineStr">
        <is>
          <t>EL-002</t>
        </is>
      </c>
      <c r="C9" s="35" t="inlineStr">
        <is>
          <t>Elbow 90 Long</t>
        </is>
      </c>
      <c r="D9" s="35" t="n">
        <v>202.717</v>
      </c>
      <c r="E9" s="35" t="n">
        <v>0</v>
      </c>
      <c r="F9" s="35" t="n">
        <v>13.677</v>
      </c>
      <c r="G9" s="35" t="n">
        <v>0</v>
      </c>
      <c r="H9" s="35" t="n">
        <v>13.677</v>
      </c>
      <c r="I9" s="35" t="n">
        <v>1</v>
      </c>
      <c r="J9" s="36" t="inlineStr">
        <is>
          <t>Single-phase gas</t>
        </is>
      </c>
      <c r="K9" s="36" t="inlineStr">
        <is>
          <t>Single-phase gas</t>
        </is>
      </c>
      <c r="L9" s="36" t="inlineStr">
        <is>
          <t>Single-phase gas</t>
        </is>
      </c>
      <c r="M9" s="36" t="inlineStr">
        <is>
          <t>Single-phase gas</t>
        </is>
      </c>
      <c r="N9" s="36" t="inlineStr">
        <is>
          <t>Single-phase gas</t>
        </is>
      </c>
      <c r="O9" s="36" t="inlineStr">
        <is>
          <t>Single-phase gas</t>
        </is>
      </c>
      <c r="P9" s="35" t="inlineStr">
        <is>
          <t>—</t>
        </is>
      </c>
      <c r="Q9" s="35" t="inlineStr">
        <is>
          <t>—</t>
        </is>
      </c>
      <c r="R9" s="35" t="inlineStr">
        <is>
          <t>—</t>
        </is>
      </c>
    </row>
    <row r="10">
      <c r="A10" s="35" t="n">
        <v>3</v>
      </c>
      <c r="B10" s="35" t="inlineStr">
        <is>
          <t>VLV-01</t>
        </is>
      </c>
      <c r="C10" s="35" t="inlineStr">
        <is>
          <t>Fix K</t>
        </is>
      </c>
      <c r="D10" s="35" t="n">
        <v>202.717</v>
      </c>
      <c r="E10" s="35" t="n">
        <v>0</v>
      </c>
      <c r="F10" s="35" t="n">
        <v>13.681</v>
      </c>
      <c r="G10" s="35" t="n">
        <v>0</v>
      </c>
      <c r="H10" s="35" t="n">
        <v>13.681</v>
      </c>
      <c r="I10" s="35" t="n">
        <v>1</v>
      </c>
      <c r="J10" s="36" t="inlineStr">
        <is>
          <t>Single-phase gas</t>
        </is>
      </c>
      <c r="K10" s="36" t="inlineStr">
        <is>
          <t>Single-phase gas</t>
        </is>
      </c>
      <c r="L10" s="36" t="inlineStr">
        <is>
          <t>Single-phase gas</t>
        </is>
      </c>
      <c r="M10" s="36" t="inlineStr">
        <is>
          <t>Single-phase gas</t>
        </is>
      </c>
      <c r="N10" s="36" t="inlineStr">
        <is>
          <t>Single-phase gas</t>
        </is>
      </c>
      <c r="O10" s="36" t="inlineStr">
        <is>
          <t>Single-phase gas</t>
        </is>
      </c>
      <c r="P10" s="35" t="inlineStr">
        <is>
          <t>—</t>
        </is>
      </c>
      <c r="Q10" s="35" t="inlineStr">
        <is>
          <t>—</t>
        </is>
      </c>
      <c r="R10" s="35" t="inlineStr">
        <is>
          <t>—</t>
        </is>
      </c>
    </row>
    <row r="12">
      <c r="A12" s="21" t="inlineStr">
        <is>
          <t>SUMMARY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</row>
    <row r="13">
      <c r="A13" s="32" t="inlineStr">
        <is>
          <t>All stations single-phase gas — no two-phase regime applies (GVF≈1).</t>
        </is>
      </c>
    </row>
    <row r="15">
      <c r="A15" s="37" t="inlineStr">
        <is>
          <t>METHODS — six independent two-phase flow-pattern correlations are run per station so transitions (regime disagreement) are visible.</t>
        </is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1" t="n"/>
    </row>
    <row r="16">
      <c r="A16" s="37" t="inlineStr">
        <is>
          <t xml:space="preserve">  Taitel-Dukler (1976): mechanistic, horizontal/near-horizontal. Solves equilibrium liquid level h̃L from Martinelli X, then transitions A (stratified→intermittent/annular, via F), B (smooth→wavy, via K), C (→dispersed bubble, via T), D (intermittent↔annular at hL/D≈0.35).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1" t="n"/>
    </row>
    <row r="17">
      <c r="A17" s="37" t="inlineStr">
        <is>
          <t xml:space="preserve">  Taitel-Barnea (1980): mechanistic vertical/steep up-flow — bubble, slug, churn, annular, dispersed-bubble (bubble-rise &amp; annular vsg).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1" t="n"/>
    </row>
    <row r="18">
      <c r="A18" s="37" t="inlineStr">
        <is>
          <t xml:space="preserve">  Baker (1954): empirical horizontal mass-flux map (Bx, By with λ, ψ property groups). Boundaries are an approximate chart digitisation.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1" t="n"/>
    </row>
    <row r="19">
      <c r="A19" s="37" t="inlineStr">
        <is>
          <t xml:space="preserve">  Hewitt-Roberts (1969): empirical vertical momentum-flux map (ρL·vsL² vs ρG·vsG²).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1" t="n"/>
    </row>
    <row r="20">
      <c r="A20" s="37" t="inlineStr">
        <is>
          <t xml:space="preserve">  Barnea (1987) unified: inclination-aware; adds the dispersed-bubble &amp; annular criteria and selects horizontal-TD or vertical-Barnea by angle.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1" t="n"/>
    </row>
    <row r="21">
      <c r="A21" s="37" t="inlineStr">
        <is>
          <t xml:space="preserve">  Shell DEP / Beggs-Brill: the λL–Froude L1..L4 pattern map referenced by Shell DEP 31.22.05.11 for horizontal lines.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1" t="n"/>
    </row>
    <row r="22">
      <c r="A22" s="37" t="inlineStr">
        <is>
          <t>SLUG — frequency: Gregory-Scott (1969) → slugs/min;  holdup: Gregory (1978);  force: √2·ρ_slug·vm²·A = resultant momentum reaction at a 90° bend (ρ_slug = ρL·HLS + ρG·(1−HLS)).</t>
        </is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1" t="n"/>
    </row>
    <row r="23">
      <c r="A23" s="37" t="inlineStr">
        <is>
          <t>VERIFY mechanistic transitions against a dedicated multiphase tool (e.g. OLGA / LedaFlow) before design use.</t>
        </is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1" t="n"/>
    </row>
  </sheetData>
  <mergeCells count="10">
    <mergeCell ref="A20:R20"/>
    <mergeCell ref="A21:R21"/>
    <mergeCell ref="A15:R15"/>
    <mergeCell ref="A16:R16"/>
    <mergeCell ref="A19:R19"/>
    <mergeCell ref="A1:R1"/>
    <mergeCell ref="A17:R17"/>
    <mergeCell ref="A23:R23"/>
    <mergeCell ref="A22:R22"/>
    <mergeCell ref="A18:R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Z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5" customWidth="1" min="10" max="10"/>
    <col width="9" customWidth="1" min="11" max="11"/>
    <col width="9" customWidth="1" min="12" max="12"/>
    <col width="9" customWidth="1" min="13" max="13"/>
    <col width="9" customWidth="1" min="14" max="14"/>
    <col width="13" customWidth="1" min="15" max="15"/>
    <col width="11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2" customWidth="1" min="25" max="25"/>
    <col width="9" customWidth="1" min="26" max="26"/>
  </cols>
  <sheetData>
    <row r="1" ht="22" customHeight="1">
      <c r="A1" s="13" t="inlineStr">
        <is>
          <t>FLOW-PATTERN PARAMETERS  |  Line Circuit C1  (ER-162, H-284) &lt;-&gt; Stream T801-OH   |   per-station, local pressure  (replica of Slug-flow Calculation)</t>
        </is>
      </c>
    </row>
    <row r="2" ht="30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(in)</t>
        </is>
      </c>
      <c r="E2" s="2" t="inlineStr">
        <is>
          <t>P (psia)</t>
        </is>
      </c>
      <c r="F2" s="2" t="inlineStr">
        <is>
          <t>Vsg (m/s)</t>
        </is>
      </c>
      <c r="G2" s="2" t="inlineStr">
        <is>
          <t>Vsl (m/s)</t>
        </is>
      </c>
      <c r="H2" s="2" t="inlineStr">
        <is>
          <t>Fr Gas</t>
        </is>
      </c>
      <c r="I2" s="2" t="inlineStr">
        <is>
          <t>Fr Liq</t>
        </is>
      </c>
      <c r="J2" s="2" t="inlineStr">
        <is>
          <t>Liquid load Fi</t>
        </is>
      </c>
      <c r="K2" s="2" t="inlineStr">
        <is>
          <t>X (L-M)</t>
        </is>
      </c>
      <c r="L2" s="2" t="inlineStr">
        <is>
          <t>1/X</t>
        </is>
      </c>
      <c r="M2" s="2" t="inlineStr">
        <is>
          <t>K (T-D)</t>
        </is>
      </c>
      <c r="N2" s="2" t="inlineStr">
        <is>
          <t>T (T-D)</t>
        </is>
      </c>
      <c r="O2" s="2" t="inlineStr">
        <is>
          <t>Gt (kg/s·m²)</t>
        </is>
      </c>
      <c r="P2" s="2" t="inlineStr">
        <is>
          <t>Vap frac y</t>
        </is>
      </c>
      <c r="Q2" s="2" t="inlineStr">
        <is>
          <t>R (homog)</t>
        </is>
      </c>
      <c r="R2" s="2" t="inlineStr">
        <is>
          <t>C gt</t>
        </is>
      </c>
      <c r="S2" s="2" t="inlineStr">
        <is>
          <t>ρl·vl²</t>
        </is>
      </c>
      <c r="T2" s="2" t="inlineStr">
        <is>
          <t>ρg·vg²</t>
        </is>
      </c>
      <c r="U2" s="2" t="inlineStr">
        <is>
          <t>λb</t>
        </is>
      </c>
      <c r="V2" s="2" t="inlineStr">
        <is>
          <t>Fb</t>
        </is>
      </c>
      <c r="W2" s="2" t="inlineStr">
        <is>
          <t>Qg/λb</t>
        </is>
      </c>
      <c r="X2" s="2" t="inlineStr">
        <is>
          <t>Ql·Fb</t>
        </is>
      </c>
      <c r="Y2" s="2" t="inlineStr">
        <is>
          <t>(Qg/Ql)^0.5</t>
        </is>
      </c>
      <c r="Z2" s="2" t="inlineStr">
        <is>
          <t>Frtp/√L</t>
        </is>
      </c>
    </row>
    <row r="3">
      <c r="A3" s="38" t="n">
        <v>1</v>
      </c>
      <c r="B3" s="38" t="inlineStr">
        <is>
          <t>ENT-01</t>
        </is>
      </c>
      <c r="C3" s="38" t="inlineStr">
        <is>
          <t>Pipeline Entrance - Sharp Edge</t>
        </is>
      </c>
      <c r="D3" s="7" t="n">
        <v>7.981</v>
      </c>
      <c r="E3" s="7" t="n">
        <v>100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20" t="n">
        <v>2</v>
      </c>
      <c r="B4" s="20" t="inlineStr">
        <is>
          <t>P-001</t>
        </is>
      </c>
      <c r="C4" s="20" t="inlineStr">
        <is>
          <t>Straight Pipeline</t>
        </is>
      </c>
      <c r="D4" s="19" t="n">
        <v>7.981</v>
      </c>
      <c r="E4" s="19" t="n">
        <v>99.9024</v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18" t="n">
        <v>3</v>
      </c>
      <c r="B5" s="18" t="inlineStr">
        <is>
          <t>EL-001</t>
        </is>
      </c>
      <c r="C5" s="18" t="inlineStr">
        <is>
          <t>Elbow 90 Long</t>
        </is>
      </c>
      <c r="D5" s="17" t="n">
        <v>7.981</v>
      </c>
      <c r="E5" s="17" t="n">
        <v>99.70489999999999</v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20" t="n">
        <v>4</v>
      </c>
      <c r="B6" s="20" t="inlineStr">
        <is>
          <t>TEE-01</t>
        </is>
      </c>
      <c r="C6" s="20" t="inlineStr">
        <is>
          <t>Tee Split Line Flow</t>
        </is>
      </c>
      <c r="D6" s="19" t="n">
        <v>7.981</v>
      </c>
      <c r="E6" s="19" t="n">
        <v>99.64619999999999</v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18" t="n">
        <v>5</v>
      </c>
      <c r="B7" s="18" t="inlineStr">
        <is>
          <t>PSV-01</t>
        </is>
      </c>
      <c r="C7" s="18" t="inlineStr">
        <is>
          <t>Fix Pressure</t>
        </is>
      </c>
      <c r="D7" s="17" t="n">
        <v>7.981</v>
      </c>
      <c r="E7" s="17" t="n">
        <v>99.61799999999999</v>
      </c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38" t="n">
        <v>1</v>
      </c>
      <c r="B8" s="38" t="inlineStr">
        <is>
          <t>P-002</t>
        </is>
      </c>
      <c r="C8" s="38" t="inlineStr">
        <is>
          <t>Straight Pipeline</t>
        </is>
      </c>
      <c r="D8" s="7" t="n">
        <v>7.981</v>
      </c>
      <c r="E8" s="7" t="n">
        <v>96.11799999999999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8" t="n">
        <v>2</v>
      </c>
      <c r="B9" s="18" t="inlineStr">
        <is>
          <t>EL-002</t>
        </is>
      </c>
      <c r="C9" s="18" t="inlineStr">
        <is>
          <t>Elbow 90 Long</t>
        </is>
      </c>
      <c r="D9" s="17" t="n">
        <v>7.981</v>
      </c>
      <c r="E9" s="17" t="n">
        <v>96.06999999999999</v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20" t="n">
        <v>3</v>
      </c>
      <c r="B10" s="20" t="inlineStr">
        <is>
          <t>VLV-01</t>
        </is>
      </c>
      <c r="C10" s="20" t="inlineStr">
        <is>
          <t>Fix K</t>
        </is>
      </c>
      <c r="D10" s="19" t="n">
        <v>7.981</v>
      </c>
      <c r="E10" s="19" t="n">
        <v>96.04810000000001</v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</sheetData>
  <mergeCells count="1">
    <mergeCell ref="A1:Z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D1:AW5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path X</t>
        </is>
      </c>
      <c r="AK1" s="39" t="inlineStr">
        <is>
          <t>path Y</t>
        </is>
      </c>
      <c r="AM1" s="39" t="inlineStr">
        <is>
          <t>bnd0 X</t>
        </is>
      </c>
      <c r="AN1" s="39" t="inlineStr">
        <is>
          <t>bnd0 Y</t>
        </is>
      </c>
      <c r="AP1" s="39" t="inlineStr">
        <is>
          <t>path X</t>
        </is>
      </c>
      <c r="AQ1" s="39" t="inlineStr">
        <is>
          <t>path Y</t>
        </is>
      </c>
      <c r="AS1" s="39" t="inlineStr">
        <is>
          <t>bnd0 X</t>
        </is>
      </c>
      <c r="AT1" s="39" t="inlineStr">
        <is>
          <t>bnd0 Y</t>
        </is>
      </c>
      <c r="AV1" s="39" t="inlineStr">
        <is>
          <t>path X</t>
        </is>
      </c>
      <c r="AW1" s="39" t="inlineStr">
        <is>
          <t>path Y</t>
        </is>
      </c>
    </row>
    <row r="2">
      <c r="AD2" t="n">
        <v>0.001</v>
      </c>
      <c r="AE2" t="n">
        <v>2</v>
      </c>
      <c r="AG2" t="n">
        <v>1.8</v>
      </c>
      <c r="AH2" t="n">
        <v>0.23</v>
      </c>
      <c r="AM2" t="n">
        <v>0.003</v>
      </c>
      <c r="AN2" t="n">
        <v>1</v>
      </c>
      <c r="AS2" t="n">
        <v>1.8</v>
      </c>
      <c r="AT2" t="n">
        <v>1</v>
      </c>
    </row>
    <row r="3">
      <c r="AD3" t="n">
        <v>1</v>
      </c>
      <c r="AE3" t="n">
        <v>0.3</v>
      </c>
      <c r="AG3" t="n">
        <v>1.8</v>
      </c>
      <c r="AH3" t="n">
        <v>1000</v>
      </c>
      <c r="AM3" t="n">
        <v>0.1</v>
      </c>
      <c r="AN3" t="n">
        <v>5.5</v>
      </c>
      <c r="AS3" t="n">
        <v>100</v>
      </c>
      <c r="AT3" t="n">
        <v>0.6</v>
      </c>
    </row>
    <row r="4">
      <c r="AD4" t="n">
        <v>10</v>
      </c>
      <c r="AE4" t="n">
        <v>0.04</v>
      </c>
      <c r="AM4" t="n">
        <v>4</v>
      </c>
      <c r="AN4" t="n">
        <v>5.5</v>
      </c>
      <c r="AS4" t="n">
        <v>10000</v>
      </c>
      <c r="AT4" t="n">
        <v>0.1</v>
      </c>
    </row>
    <row r="5">
      <c r="AD5" t="n">
        <v>200</v>
      </c>
      <c r="AE5" t="n">
        <v>0.001</v>
      </c>
      <c r="AM5" t="n">
        <v>60</v>
      </c>
      <c r="AN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D1:BF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bnd7 X</t>
        </is>
      </c>
      <c r="AZ1" s="39" t="inlineStr">
        <is>
          <t>bnd7 Y</t>
        </is>
      </c>
      <c r="BB1" s="39" t="inlineStr">
        <is>
          <t>bnd8 X</t>
        </is>
      </c>
      <c r="BC1" s="39" t="inlineStr">
        <is>
          <t>bnd8 Y</t>
        </is>
      </c>
      <c r="BE1" s="39" t="inlineStr">
        <is>
          <t>path X</t>
        </is>
      </c>
      <c r="BF1" s="39" t="inlineStr">
        <is>
          <t>path Y</t>
        </is>
      </c>
    </row>
    <row r="2">
      <c r="AD2" t="n">
        <v>0.01</v>
      </c>
      <c r="AE2" t="n">
        <v>0.16</v>
      </c>
      <c r="AG2" t="n">
        <v>0.01</v>
      </c>
      <c r="AH2" t="n">
        <v>4.5</v>
      </c>
      <c r="AJ2" t="n">
        <v>160</v>
      </c>
      <c r="AK2" t="n">
        <v>20</v>
      </c>
      <c r="AM2" t="n">
        <v>0.9</v>
      </c>
      <c r="AN2" t="n">
        <v>4.5</v>
      </c>
      <c r="AP2" t="n">
        <v>0.8</v>
      </c>
      <c r="AQ2" t="n">
        <v>0.3</v>
      </c>
      <c r="AS2" t="n">
        <v>2.5</v>
      </c>
      <c r="AT2" t="n">
        <v>0.11</v>
      </c>
      <c r="AV2" t="n">
        <v>2.5</v>
      </c>
      <c r="AW2" t="n">
        <v>0.11</v>
      </c>
      <c r="AY2" t="n">
        <v>15</v>
      </c>
      <c r="AZ2" t="n">
        <v>0.11</v>
      </c>
      <c r="BB2" t="n">
        <v>13</v>
      </c>
      <c r="BC2" t="n">
        <v>0.3</v>
      </c>
    </row>
    <row r="3">
      <c r="AD3" t="n">
        <v>1.6</v>
      </c>
      <c r="AE3" t="n">
        <v>0.16</v>
      </c>
      <c r="AG3" t="n">
        <v>66</v>
      </c>
      <c r="AH3" t="n">
        <v>4.5</v>
      </c>
      <c r="AJ3" t="n">
        <v>13</v>
      </c>
      <c r="AK3" t="n">
        <v>0.3</v>
      </c>
      <c r="AM3" t="n">
        <v>0.8</v>
      </c>
      <c r="AN3" t="n">
        <v>0.3</v>
      </c>
      <c r="AP3" t="n">
        <v>2.5</v>
      </c>
      <c r="AQ3" t="n">
        <v>0.11</v>
      </c>
      <c r="AS3" t="n">
        <v>8.5</v>
      </c>
      <c r="AT3" t="n">
        <v>0.01</v>
      </c>
      <c r="AV3" t="n">
        <v>15</v>
      </c>
      <c r="AW3" t="n">
        <v>0.11</v>
      </c>
      <c r="AY3" t="n">
        <v>20</v>
      </c>
      <c r="AZ3" t="n">
        <v>0.01</v>
      </c>
      <c r="BB3" t="n">
        <v>15</v>
      </c>
      <c r="BC3" t="n">
        <v>0.11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D1:AN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path X</t>
        </is>
      </c>
      <c r="AN1" s="39" t="inlineStr">
        <is>
          <t>path Y</t>
        </is>
      </c>
    </row>
    <row r="2">
      <c r="AD2" t="n">
        <v>10</v>
      </c>
      <c r="AE2" t="n">
        <v>0.22</v>
      </c>
      <c r="AG2" t="n">
        <v>1.7</v>
      </c>
      <c r="AH2" t="n">
        <v>0.01</v>
      </c>
      <c r="AJ2" t="n">
        <v>10</v>
      </c>
      <c r="AK2" t="n">
        <v>0.9</v>
      </c>
    </row>
    <row r="3">
      <c r="AD3" t="n">
        <v>0.52</v>
      </c>
      <c r="AE3" t="n">
        <v>0.22</v>
      </c>
      <c r="AG3" t="n">
        <v>0.2</v>
      </c>
      <c r="AH3" t="n">
        <v>1</v>
      </c>
      <c r="AJ3" t="n">
        <v>0.1</v>
      </c>
      <c r="AK3" t="n">
        <v>80</v>
      </c>
    </row>
    <row r="4">
      <c r="AG4" t="n">
        <v>0.001</v>
      </c>
      <c r="AH4" t="n">
        <v>51</v>
      </c>
      <c r="AJ4" t="n">
        <v>0.001</v>
      </c>
      <c r="AK4" t="n">
        <v>1500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/>
  </sheetPr>
  <dimension ref="AD1:BF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bnd7 X</t>
        </is>
      </c>
      <c r="AZ1" s="39" t="inlineStr">
        <is>
          <t>bnd7 Y</t>
        </is>
      </c>
      <c r="BB1" s="39" t="inlineStr">
        <is>
          <t>bnd8 X</t>
        </is>
      </c>
      <c r="BC1" s="39" t="inlineStr">
        <is>
          <t>bnd8 Y</t>
        </is>
      </c>
      <c r="BE1" s="39" t="inlineStr">
        <is>
          <t>path X</t>
        </is>
      </c>
      <c r="BF1" s="39" t="inlineStr">
        <is>
          <t>path Y</t>
        </is>
      </c>
    </row>
    <row r="2">
      <c r="AD2" t="n">
        <v>0.001</v>
      </c>
      <c r="AE2" t="n">
        <v>0.1</v>
      </c>
      <c r="AG2" t="n">
        <v>0.001</v>
      </c>
      <c r="AH2" t="n">
        <v>0.1</v>
      </c>
      <c r="AJ2" t="n">
        <v>0.3</v>
      </c>
      <c r="AK2" t="n">
        <v>0.6</v>
      </c>
      <c r="AM2" t="n">
        <v>2</v>
      </c>
      <c r="AN2" t="n">
        <v>0.09</v>
      </c>
      <c r="AP2" t="n">
        <v>1</v>
      </c>
      <c r="AQ2" t="n">
        <v>1e-05</v>
      </c>
      <c r="AS2" t="n">
        <v>0.001</v>
      </c>
      <c r="AT2" t="n">
        <v>2.187761623949552</v>
      </c>
      <c r="AV2" t="n">
        <v>0.2</v>
      </c>
      <c r="AW2" t="n">
        <v>12</v>
      </c>
      <c r="AY2" t="n">
        <v>0.3</v>
      </c>
      <c r="AZ2" t="n">
        <v>0.6</v>
      </c>
      <c r="BB2" t="n">
        <v>3.5</v>
      </c>
      <c r="BC2" t="n">
        <v>18</v>
      </c>
    </row>
    <row r="3">
      <c r="AD3" t="n">
        <v>0.03</v>
      </c>
      <c r="AE3" t="n">
        <v>0.04</v>
      </c>
      <c r="AG3" t="n">
        <v>0.3</v>
      </c>
      <c r="AH3" t="n">
        <v>0.6</v>
      </c>
      <c r="AJ3" t="n">
        <v>2</v>
      </c>
      <c r="AK3" t="n">
        <v>0.09</v>
      </c>
      <c r="AM3" t="n">
        <v>6</v>
      </c>
      <c r="AN3" t="n">
        <v>6.999999999999999e-05</v>
      </c>
      <c r="AP3" t="n">
        <v>150</v>
      </c>
      <c r="AQ3" t="n">
        <v>0.002</v>
      </c>
      <c r="AS3" t="n">
        <v>0.2</v>
      </c>
      <c r="AT3" t="n">
        <v>12</v>
      </c>
      <c r="AV3" t="n">
        <v>3.5</v>
      </c>
      <c r="AW3" t="n">
        <v>18</v>
      </c>
      <c r="AY3" t="n">
        <v>3.5</v>
      </c>
      <c r="AZ3" t="n">
        <v>18</v>
      </c>
      <c r="BB3" t="n">
        <v>10</v>
      </c>
      <c r="BC3" t="n">
        <v>50</v>
      </c>
    </row>
    <row r="4">
      <c r="AD4" t="n">
        <v>0.08</v>
      </c>
      <c r="AE4" t="n">
        <v>1e-05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D1:BO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bnd7 X</t>
        </is>
      </c>
      <c r="AZ1" s="39" t="inlineStr">
        <is>
          <t>bnd7 Y</t>
        </is>
      </c>
      <c r="BB1" s="39" t="inlineStr">
        <is>
          <t>bnd8 X</t>
        </is>
      </c>
      <c r="BC1" s="39" t="inlineStr">
        <is>
          <t>bnd8 Y</t>
        </is>
      </c>
      <c r="BE1" s="39" t="inlineStr">
        <is>
          <t>bnd9 X</t>
        </is>
      </c>
      <c r="BF1" s="39" t="inlineStr">
        <is>
          <t>bnd9 Y</t>
        </is>
      </c>
      <c r="BH1" s="39" t="inlineStr">
        <is>
          <t>bnd10 X</t>
        </is>
      </c>
      <c r="BI1" s="39" t="inlineStr">
        <is>
          <t>bnd10 Y</t>
        </is>
      </c>
      <c r="BK1" s="39" t="inlineStr">
        <is>
          <t>bnd11 X</t>
        </is>
      </c>
      <c r="BL1" s="39" t="inlineStr">
        <is>
          <t>bnd11 Y</t>
        </is>
      </c>
      <c r="BN1" s="39" t="inlineStr">
        <is>
          <t>path X</t>
        </is>
      </c>
      <c r="BO1" s="39" t="inlineStr">
        <is>
          <t>path Y</t>
        </is>
      </c>
    </row>
    <row r="2">
      <c r="AD2" t="n">
        <v>0.0001</v>
      </c>
      <c r="AE2" t="n">
        <v>0.7</v>
      </c>
      <c r="AG2" t="n">
        <v>0.0001</v>
      </c>
      <c r="AH2" t="n">
        <v>0.3</v>
      </c>
      <c r="AJ2" t="n">
        <v>0.0001</v>
      </c>
      <c r="AK2" t="n">
        <v>0.1</v>
      </c>
      <c r="AM2" t="n">
        <v>0.01</v>
      </c>
      <c r="AN2" t="n">
        <v>0.04</v>
      </c>
      <c r="AP2" t="n">
        <v>0.06</v>
      </c>
      <c r="AQ2" t="n">
        <v>0.04</v>
      </c>
      <c r="AS2" t="n">
        <v>0.1</v>
      </c>
      <c r="AT2" t="n">
        <v>0.04</v>
      </c>
      <c r="AV2" t="n">
        <v>0.06</v>
      </c>
      <c r="AW2" t="n">
        <v>0.1</v>
      </c>
      <c r="AY2" t="n">
        <v>0.1</v>
      </c>
      <c r="AZ2" t="n">
        <v>0.1</v>
      </c>
      <c r="BB2" t="n">
        <v>0.005</v>
      </c>
      <c r="BC2" t="n">
        <v>0.3</v>
      </c>
      <c r="BE2" t="n">
        <v>0.015</v>
      </c>
      <c r="BF2" t="n">
        <v>0.3</v>
      </c>
      <c r="BH2" t="n">
        <v>0.3</v>
      </c>
      <c r="BI2" t="n">
        <v>3</v>
      </c>
      <c r="BK2" t="n">
        <v>0.5</v>
      </c>
      <c r="BL2" t="n">
        <v>3.2</v>
      </c>
    </row>
    <row r="3">
      <c r="AD3" t="n">
        <v>1</v>
      </c>
      <c r="AE3" t="n">
        <v>0.7</v>
      </c>
      <c r="AG3" t="n">
        <v>0.5</v>
      </c>
      <c r="AH3" t="n">
        <v>0.3</v>
      </c>
      <c r="AJ3" t="n">
        <v>0.1</v>
      </c>
      <c r="AK3" t="n">
        <v>0.1</v>
      </c>
      <c r="AM3" t="n">
        <v>0.01</v>
      </c>
      <c r="AN3" t="n">
        <v>0.1</v>
      </c>
      <c r="AP3" t="n">
        <v>0.06</v>
      </c>
      <c r="AQ3" t="n">
        <v>0.1</v>
      </c>
      <c r="AS3" t="n">
        <v>0.1</v>
      </c>
      <c r="AT3" t="n">
        <v>0.1</v>
      </c>
      <c r="AV3" t="n">
        <v>0.9</v>
      </c>
      <c r="AW3" t="n">
        <v>0.7</v>
      </c>
      <c r="AY3" t="n">
        <v>1</v>
      </c>
      <c r="AZ3" t="n">
        <v>0.5</v>
      </c>
      <c r="BB3" t="n">
        <v>0.3</v>
      </c>
      <c r="BC3" t="n">
        <v>3</v>
      </c>
      <c r="BE3" t="n">
        <v>0.5</v>
      </c>
      <c r="BF3" t="n">
        <v>3.2</v>
      </c>
      <c r="BH3" t="n">
        <v>1</v>
      </c>
      <c r="BI3" t="n">
        <v>9</v>
      </c>
      <c r="BK3" t="n">
        <v>1</v>
      </c>
      <c r="BL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path X</t>
        </is>
      </c>
      <c r="AZ1" s="39" t="inlineStr">
        <is>
          <t>path Y</t>
        </is>
      </c>
    </row>
    <row r="2">
      <c r="AD2" t="n">
        <v>1</v>
      </c>
      <c r="AE2" t="n">
        <v>9</v>
      </c>
      <c r="AG2" t="n">
        <v>10</v>
      </c>
      <c r="AH2" t="n">
        <v>100</v>
      </c>
      <c r="AJ2" t="n">
        <v>120</v>
      </c>
      <c r="AK2" t="n">
        <v>1.2</v>
      </c>
      <c r="AM2" t="n">
        <v>3000</v>
      </c>
      <c r="AN2" t="n">
        <v>0.1</v>
      </c>
      <c r="AP2" t="n">
        <v>2000</v>
      </c>
      <c r="AQ2" t="n">
        <v>5</v>
      </c>
      <c r="AS2" t="n">
        <v>3083.187950249353</v>
      </c>
      <c r="AT2" t="n">
        <v>22</v>
      </c>
      <c r="AV2" t="n">
        <v>26</v>
      </c>
      <c r="AW2" t="n">
        <v>15</v>
      </c>
    </row>
    <row r="3">
      <c r="AD3" t="n">
        <v>50</v>
      </c>
      <c r="AE3" t="n">
        <v>4</v>
      </c>
      <c r="AG3" t="n">
        <v>50</v>
      </c>
      <c r="AH3" t="n">
        <v>4</v>
      </c>
      <c r="AJ3" t="n">
        <v>2500</v>
      </c>
      <c r="AK3" t="n">
        <v>0.5</v>
      </c>
      <c r="AM3" t="n">
        <v>2000</v>
      </c>
      <c r="AN3" t="n">
        <v>5</v>
      </c>
      <c r="AP3" t="n">
        <v>3083.187950249353</v>
      </c>
      <c r="AQ3" t="n">
        <v>22</v>
      </c>
      <c r="AS3" t="n">
        <v>500</v>
      </c>
      <c r="AT3" t="n">
        <v>7</v>
      </c>
      <c r="AV3" t="n">
        <v>120</v>
      </c>
      <c r="AW3" t="n">
        <v>6</v>
      </c>
    </row>
    <row r="4">
      <c r="AD4" t="n">
        <v>300</v>
      </c>
      <c r="AE4" t="n">
        <v>0.1</v>
      </c>
      <c r="AP4" t="n">
        <v>15000</v>
      </c>
      <c r="AQ4" t="n">
        <v>100</v>
      </c>
      <c r="AV4" t="n">
        <v>500</v>
      </c>
      <c r="AW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375623"/>
    <outlinePr summaryBelow="1" summaryRight="1"/>
    <pageSetUpPr/>
  </sheetPr>
  <dimension ref="AD1:AW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path X</t>
        </is>
      </c>
      <c r="AW1" s="39" t="inlineStr">
        <is>
          <t>path Y</t>
        </is>
      </c>
    </row>
    <row r="2">
      <c r="AD2" t="n">
        <v>0.12</v>
      </c>
      <c r="AE2" t="n">
        <v>0.01</v>
      </c>
      <c r="AG2" t="n">
        <v>2.5</v>
      </c>
      <c r="AH2" t="n">
        <v>0.01</v>
      </c>
      <c r="AJ2" t="n">
        <v>2.5</v>
      </c>
      <c r="AK2" t="n">
        <v>0.22</v>
      </c>
      <c r="AM2" t="n">
        <v>8</v>
      </c>
      <c r="AN2" t="n">
        <v>1.2</v>
      </c>
      <c r="AP2" t="n">
        <v>8</v>
      </c>
      <c r="AQ2" t="n">
        <v>1.2</v>
      </c>
      <c r="AS2" t="n">
        <v>0.01</v>
      </c>
      <c r="AT2" t="n">
        <v>20</v>
      </c>
    </row>
    <row r="3">
      <c r="AD3" t="n">
        <v>0.8</v>
      </c>
      <c r="AE3" t="n">
        <v>20</v>
      </c>
      <c r="AG3" t="n">
        <v>2.5</v>
      </c>
      <c r="AH3" t="n">
        <v>0.22</v>
      </c>
      <c r="AJ3" t="n">
        <v>8</v>
      </c>
      <c r="AK3" t="n">
        <v>1.2</v>
      </c>
      <c r="AM3" t="n">
        <v>8</v>
      </c>
      <c r="AN3" t="n">
        <v>20</v>
      </c>
      <c r="AP3" t="n">
        <v>28</v>
      </c>
      <c r="AQ3" t="n">
        <v>0.01</v>
      </c>
      <c r="AS3" t="n">
        <v>10000</v>
      </c>
      <c r="AT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375623"/>
    <outlinePr summaryBelow="1" summaryRight="1"/>
    <pageSetUpPr/>
  </sheetPr>
  <dimension ref="AD1:AW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path X</t>
        </is>
      </c>
      <c r="AW1" s="39" t="inlineStr">
        <is>
          <t>path Y</t>
        </is>
      </c>
    </row>
    <row r="2">
      <c r="AD2" t="n">
        <v>0.004</v>
      </c>
      <c r="AE2" t="n">
        <v>1e-05</v>
      </c>
      <c r="AG2" t="n">
        <v>0.004</v>
      </c>
      <c r="AH2" t="n">
        <v>0.04</v>
      </c>
      <c r="AJ2" t="n">
        <v>0.2</v>
      </c>
      <c r="AK2" t="n">
        <v>1e-05</v>
      </c>
      <c r="AM2" t="n">
        <v>0.2</v>
      </c>
      <c r="AN2" t="n">
        <v>6</v>
      </c>
      <c r="AP2" t="n">
        <v>0.2</v>
      </c>
      <c r="AQ2" t="n">
        <v>1.5</v>
      </c>
      <c r="AS2" t="n">
        <v>1</v>
      </c>
      <c r="AT2" t="n">
        <v>1e-05</v>
      </c>
    </row>
    <row r="3">
      <c r="AD3" t="n">
        <v>0.004</v>
      </c>
      <c r="AE3" t="n">
        <v>0.04</v>
      </c>
      <c r="AG3" t="n">
        <v>0.2</v>
      </c>
      <c r="AH3" t="n">
        <v>6</v>
      </c>
      <c r="AJ3" t="n">
        <v>0.2</v>
      </c>
      <c r="AK3" t="n">
        <v>1.5</v>
      </c>
      <c r="AM3" t="n">
        <v>0.8</v>
      </c>
      <c r="AN3" t="n">
        <v>6</v>
      </c>
      <c r="AP3" t="n">
        <v>9</v>
      </c>
      <c r="AQ3" t="n">
        <v>60</v>
      </c>
      <c r="AS3" t="n">
        <v>40</v>
      </c>
      <c r="AT3" t="n">
        <v>0.0005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path X</t>
        </is>
      </c>
      <c r="AZ1" s="39" t="inlineStr">
        <is>
          <t>path Y</t>
        </is>
      </c>
    </row>
    <row r="2">
      <c r="AD2" t="n">
        <v>10</v>
      </c>
      <c r="AE2" t="n">
        <v>0.9</v>
      </c>
      <c r="AG2" t="n">
        <v>3</v>
      </c>
      <c r="AH2" t="n">
        <v>2</v>
      </c>
      <c r="AJ2" t="n">
        <v>0.11</v>
      </c>
      <c r="AK2" t="n">
        <v>0.01</v>
      </c>
      <c r="AM2" t="n">
        <v>0.09</v>
      </c>
      <c r="AN2" t="n">
        <v>0.01</v>
      </c>
      <c r="AP2" t="n">
        <v>2</v>
      </c>
      <c r="AQ2" t="n">
        <v>4</v>
      </c>
      <c r="AS2" t="n">
        <v>0.045</v>
      </c>
      <c r="AT2" t="n">
        <v>16</v>
      </c>
      <c r="AV2" t="n">
        <v>0.3</v>
      </c>
      <c r="AW2" t="n">
        <v>10</v>
      </c>
    </row>
    <row r="3">
      <c r="AD3" t="n">
        <v>3</v>
      </c>
      <c r="AE3" t="n">
        <v>0.26</v>
      </c>
      <c r="AG3" t="n">
        <v>2</v>
      </c>
      <c r="AH3" t="n">
        <v>1</v>
      </c>
      <c r="AJ3" t="n">
        <v>0.08</v>
      </c>
      <c r="AK3" t="n">
        <v>2</v>
      </c>
      <c r="AM3" t="n">
        <v>0.04</v>
      </c>
      <c r="AN3" t="n">
        <v>3.8</v>
      </c>
      <c r="AP3" t="n">
        <v>0.6</v>
      </c>
      <c r="AQ3" t="n">
        <v>6</v>
      </c>
      <c r="AS3" t="n">
        <v>0.02</v>
      </c>
      <c r="AT3" t="n">
        <v>13</v>
      </c>
      <c r="AV3" t="n">
        <v>0.2</v>
      </c>
      <c r="AW3" t="n">
        <v>12</v>
      </c>
    </row>
    <row r="4">
      <c r="AD4" t="n">
        <v>1.8</v>
      </c>
      <c r="AE4" t="n">
        <v>0.01</v>
      </c>
      <c r="AG4" t="n">
        <v>0.9</v>
      </c>
      <c r="AH4" t="n">
        <v>0.01</v>
      </c>
      <c r="AJ4" t="n">
        <v>0.045</v>
      </c>
      <c r="AK4" t="n">
        <v>16</v>
      </c>
      <c r="AM4" t="n">
        <v>0.02</v>
      </c>
      <c r="AN4" t="n">
        <v>13</v>
      </c>
      <c r="AP4" t="n">
        <v>0.3</v>
      </c>
      <c r="AQ4" t="n">
        <v>10</v>
      </c>
      <c r="AS4" t="n">
        <v>0.004</v>
      </c>
      <c r="AT4" t="n">
        <v>2</v>
      </c>
      <c r="AV4" t="n">
        <v>0.045</v>
      </c>
      <c r="AW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375623"/>
    <outlinePr summaryBelow="1" summaryRight="1"/>
    <pageSetUpPr/>
  </sheetPr>
  <dimension ref="AD1:AN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path X</t>
        </is>
      </c>
      <c r="AN1" s="39" t="inlineStr">
        <is>
          <t>path Y</t>
        </is>
      </c>
    </row>
    <row r="2">
      <c r="AD2" t="n">
        <v>0.18</v>
      </c>
      <c r="AE2" t="n">
        <v>1000</v>
      </c>
      <c r="AG2" t="n">
        <v>0.55</v>
      </c>
      <c r="AH2" t="n">
        <v>1000</v>
      </c>
      <c r="AJ2" t="n">
        <v>3</v>
      </c>
      <c r="AK2" t="n">
        <v>1000</v>
      </c>
    </row>
    <row r="3">
      <c r="AD3" t="n">
        <v>3</v>
      </c>
      <c r="AE3" t="n">
        <v>10</v>
      </c>
      <c r="AG3" t="n">
        <v>19</v>
      </c>
      <c r="AH3" t="n">
        <v>10</v>
      </c>
      <c r="AJ3" t="n">
        <v>100</v>
      </c>
      <c r="AK3" t="n">
        <v>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375623"/>
    <outlinePr summaryBelow="1" summaryRight="1"/>
    <pageSetUpPr/>
  </sheetPr>
  <dimension ref="AD1:AW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path X</t>
        </is>
      </c>
      <c r="AW1" s="39" t="inlineStr">
        <is>
          <t>path Y</t>
        </is>
      </c>
    </row>
    <row r="2">
      <c r="AD2" t="n">
        <v>1</v>
      </c>
      <c r="AE2" t="n">
        <v>140</v>
      </c>
      <c r="AG2" t="n">
        <v>6000</v>
      </c>
      <c r="AH2" t="n">
        <v>10</v>
      </c>
      <c r="AJ2" t="n">
        <v>6000</v>
      </c>
      <c r="AK2" t="n">
        <v>10</v>
      </c>
      <c r="AM2" t="n">
        <v>10</v>
      </c>
      <c r="AN2" t="n">
        <v>0.3</v>
      </c>
      <c r="AP2" t="n">
        <v>1000</v>
      </c>
      <c r="AQ2" t="n">
        <v>100</v>
      </c>
      <c r="AS2" t="n">
        <v>1000</v>
      </c>
      <c r="AT2" t="n">
        <v>1000</v>
      </c>
    </row>
    <row r="3">
      <c r="AD3" t="n">
        <v>10</v>
      </c>
      <c r="AE3" t="n">
        <v>110</v>
      </c>
      <c r="AG3" t="n">
        <v>6000</v>
      </c>
      <c r="AH3" t="n">
        <v>100</v>
      </c>
      <c r="AJ3" t="n">
        <v>10000</v>
      </c>
      <c r="AK3" t="n">
        <v>2</v>
      </c>
      <c r="AM3" t="n">
        <v>100</v>
      </c>
      <c r="AN3" t="n">
        <v>21.87761623949553</v>
      </c>
      <c r="AP3" t="n">
        <v>1000</v>
      </c>
      <c r="AQ3" t="n">
        <v>1000</v>
      </c>
      <c r="AS3" t="n">
        <v>2000</v>
      </c>
      <c r="AT3" t="n">
        <v>4168.693834703358</v>
      </c>
    </row>
    <row r="4">
      <c r="AD4" t="n">
        <v>100000</v>
      </c>
      <c r="AE4" t="n">
        <v>100</v>
      </c>
      <c r="AJ4" t="n">
        <v>30000</v>
      </c>
      <c r="AK4" t="n">
        <v>1</v>
      </c>
      <c r="AM4" t="n">
        <v>6000</v>
      </c>
      <c r="AN4" t="n">
        <v>70</v>
      </c>
      <c r="AS4" t="n">
        <v>6000</v>
      </c>
      <c r="AT4" t="n">
        <v>10000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375623"/>
    <outlinePr summaryBelow="1" summaryRight="1"/>
    <pageSetUpPr/>
  </sheetPr>
  <dimension ref="AD1:AW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path X</t>
        </is>
      </c>
      <c r="AW1" s="39" t="inlineStr">
        <is>
          <t>path Y</t>
        </is>
      </c>
    </row>
    <row r="2">
      <c r="AD2" t="n">
        <v>0.11</v>
      </c>
      <c r="AE2" t="n">
        <v>1.2</v>
      </c>
      <c r="AG2" t="n">
        <v>0.8</v>
      </c>
      <c r="AH2" t="n">
        <v>1.5</v>
      </c>
      <c r="AJ2" t="n">
        <v>0.4</v>
      </c>
      <c r="AK2" t="n">
        <v>0.18</v>
      </c>
      <c r="AM2" t="n">
        <v>5</v>
      </c>
      <c r="AN2" t="n">
        <v>18</v>
      </c>
      <c r="AP2" t="n">
        <v>19</v>
      </c>
      <c r="AQ2" t="n">
        <v>25</v>
      </c>
      <c r="AS2" t="n">
        <v>150</v>
      </c>
      <c r="AT2" t="n">
        <v>30</v>
      </c>
    </row>
    <row r="3">
      <c r="AD3" t="n">
        <v>0.8</v>
      </c>
      <c r="AE3" t="n">
        <v>1.5</v>
      </c>
      <c r="AG3" t="n">
        <v>3</v>
      </c>
      <c r="AH3" t="n">
        <v>1.2</v>
      </c>
      <c r="AJ3" t="n">
        <v>7</v>
      </c>
      <c r="AK3" t="n">
        <v>0.5</v>
      </c>
      <c r="AM3" t="n">
        <v>10</v>
      </c>
      <c r="AN3" t="n">
        <v>2</v>
      </c>
      <c r="AP3" t="n">
        <v>100</v>
      </c>
      <c r="AQ3" t="n">
        <v>8</v>
      </c>
      <c r="AS3" t="n">
        <v>1500</v>
      </c>
      <c r="AT3" t="n">
        <v>4</v>
      </c>
    </row>
    <row r="4">
      <c r="AG4" t="n">
        <v>7</v>
      </c>
      <c r="AH4" t="n">
        <v>0.5</v>
      </c>
      <c r="AJ4" t="n">
        <v>30</v>
      </c>
      <c r="AK4" t="n">
        <v>0.6</v>
      </c>
      <c r="AM4" t="n">
        <v>30</v>
      </c>
      <c r="AN4" t="n">
        <v>0.6</v>
      </c>
      <c r="AP4" t="n">
        <v>280</v>
      </c>
      <c r="AQ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375623"/>
    <outlinePr summaryBelow="1" summaryRight="1"/>
    <pageSetUpPr/>
  </sheetPr>
  <dimension ref="AD1:AK3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path X</t>
        </is>
      </c>
      <c r="AK1" s="39" t="inlineStr">
        <is>
          <t>path Y</t>
        </is>
      </c>
    </row>
    <row r="2">
      <c r="AD2" t="n">
        <v>0.2</v>
      </c>
      <c r="AE2" t="n">
        <v>0</v>
      </c>
      <c r="AG2" t="n">
        <v>0.4</v>
      </c>
      <c r="AH2" t="n">
        <v>0</v>
      </c>
    </row>
    <row r="3">
      <c r="AD3" t="n">
        <v>1.8</v>
      </c>
      <c r="AE3" t="n">
        <v>2</v>
      </c>
      <c r="AG3" t="n">
        <v>2</v>
      </c>
      <c r="AH3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39" t="inlineStr">
        <is>
          <t>bnd0 X</t>
        </is>
      </c>
      <c r="AE1" s="39" t="inlineStr">
        <is>
          <t>bnd0 Y</t>
        </is>
      </c>
      <c r="AG1" s="39" t="inlineStr">
        <is>
          <t>bnd1 X</t>
        </is>
      </c>
      <c r="AH1" s="39" t="inlineStr">
        <is>
          <t>bnd1 Y</t>
        </is>
      </c>
      <c r="AJ1" s="39" t="inlineStr">
        <is>
          <t>bnd2 X</t>
        </is>
      </c>
      <c r="AK1" s="39" t="inlineStr">
        <is>
          <t>bnd2 Y</t>
        </is>
      </c>
      <c r="AM1" s="39" t="inlineStr">
        <is>
          <t>bnd3 X</t>
        </is>
      </c>
      <c r="AN1" s="39" t="inlineStr">
        <is>
          <t>bnd3 Y</t>
        </is>
      </c>
      <c r="AP1" s="39" t="inlineStr">
        <is>
          <t>bnd4 X</t>
        </is>
      </c>
      <c r="AQ1" s="39" t="inlineStr">
        <is>
          <t>bnd4 Y</t>
        </is>
      </c>
      <c r="AS1" s="39" t="inlineStr">
        <is>
          <t>bnd5 X</t>
        </is>
      </c>
      <c r="AT1" s="39" t="inlineStr">
        <is>
          <t>bnd5 Y</t>
        </is>
      </c>
      <c r="AV1" s="39" t="inlineStr">
        <is>
          <t>bnd6 X</t>
        </is>
      </c>
      <c r="AW1" s="39" t="inlineStr">
        <is>
          <t>bnd6 Y</t>
        </is>
      </c>
      <c r="AY1" s="39" t="inlineStr">
        <is>
          <t>path X</t>
        </is>
      </c>
      <c r="AZ1" s="39" t="inlineStr">
        <is>
          <t>path Y</t>
        </is>
      </c>
    </row>
    <row r="2">
      <c r="AD2" t="n">
        <v>1.8</v>
      </c>
      <c r="AE2" t="n">
        <v>0.3</v>
      </c>
      <c r="AG2" t="n">
        <v>0.38</v>
      </c>
      <c r="AH2" t="n">
        <v>1.5</v>
      </c>
      <c r="AJ2" t="n">
        <v>28</v>
      </c>
      <c r="AK2" t="n">
        <v>25</v>
      </c>
      <c r="AM2" t="n">
        <v>400</v>
      </c>
      <c r="AN2" t="n">
        <v>5.8</v>
      </c>
      <c r="AP2" t="n">
        <v>7</v>
      </c>
      <c r="AQ2" t="n">
        <v>1.9</v>
      </c>
      <c r="AS2" t="n">
        <v>18</v>
      </c>
      <c r="AT2" t="n">
        <v>1.2</v>
      </c>
      <c r="AV2" t="n">
        <v>30</v>
      </c>
      <c r="AW2" t="n">
        <v>2.2</v>
      </c>
    </row>
    <row r="3">
      <c r="AD3" t="n">
        <v>7</v>
      </c>
      <c r="AE3" t="n">
        <v>0.5</v>
      </c>
      <c r="AG3" t="n">
        <v>7</v>
      </c>
      <c r="AH3" t="n">
        <v>1.9</v>
      </c>
      <c r="AJ3" t="n">
        <v>45</v>
      </c>
      <c r="AK3" t="n">
        <v>17</v>
      </c>
      <c r="AM3" t="n">
        <v>1000</v>
      </c>
      <c r="AN3" t="n">
        <v>5</v>
      </c>
      <c r="AP3" t="n">
        <v>5.942921586155727</v>
      </c>
      <c r="AQ3" t="n">
        <v>6.854882264526617</v>
      </c>
      <c r="AS3" t="n">
        <v>30</v>
      </c>
      <c r="AT3" t="n">
        <v>2.2</v>
      </c>
      <c r="AV3" t="n">
        <v>100</v>
      </c>
      <c r="AW3" t="n">
        <v>3</v>
      </c>
    </row>
    <row r="4">
      <c r="AD4" t="n">
        <v>35</v>
      </c>
      <c r="AE4" t="n">
        <v>0.58</v>
      </c>
      <c r="AG4" t="n">
        <v>40</v>
      </c>
      <c r="AH4" t="n">
        <v>0.7</v>
      </c>
      <c r="AJ4" t="n">
        <v>400</v>
      </c>
      <c r="AK4" t="n">
        <v>5.8</v>
      </c>
      <c r="AP4" t="n">
        <v>45</v>
      </c>
      <c r="AQ4" t="n">
        <v>17</v>
      </c>
      <c r="AV4" t="n">
        <v>400</v>
      </c>
      <c r="AW4" t="n">
        <v>5.8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2E75B6"/>
    <outlinePr summaryBelow="1" summaryRight="1"/>
    <pageSetUpPr/>
  </sheetPr>
  <dimension ref="A1:X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28" customWidth="1" min="4" max="4"/>
    <col width="12" customWidth="1" min="5" max="5"/>
    <col width="10" customWidth="1" min="6" max="6"/>
    <col width="10" customWidth="1" min="7" max="7"/>
    <col width="12" customWidth="1" min="8" max="8"/>
    <col width="11" customWidth="1" min="9" max="9"/>
    <col width="14" customWidth="1" min="10" max="10"/>
    <col width="10" customWidth="1" min="11" max="11"/>
    <col width="12" customWidth="1" min="12" max="12"/>
    <col width="10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14" customWidth="1" min="19" max="19"/>
    <col width="16" customWidth="1" min="20" max="20"/>
    <col width="10" customWidth="1" min="21" max="21"/>
    <col width="10" customWidth="1" min="22" max="22"/>
    <col width="9" customWidth="1" min="23" max="23"/>
    <col width="9" customWidth="1" min="24" max="24"/>
  </cols>
  <sheetData>
    <row r="1" ht="20" customHeight="1">
      <c r="A1" s="1" t="inlineStr">
        <is>
          <t>CIRCUIT:  C1   |   ISO: (manual — no ISO)   |   Lines: ER-162, H-284   |   Stream: T801-OH</t>
        </is>
      </c>
    </row>
    <row r="2" ht="16" customHeight="1">
      <c r="A2" s="40" t="inlineStr">
        <is>
          <t>Start P: 689.4757 kPa   |   Flash mode: isothermal   |   Components: 8 Main  /  0 Branch  |  2 line(s)</t>
        </is>
      </c>
    </row>
    <row r="3" ht="16" customHeight="1">
      <c r="A3" s="38" t="inlineStr">
        <is>
          <t>HMB: HMB.xlsx   |   Unit: HMB   |   Case: —   |   Desc: —   |   Issued: —</t>
        </is>
      </c>
    </row>
    <row r="4" ht="30" customHeight="1">
      <c r="A4" s="2" t="inlineStr">
        <is>
          <t>Seq</t>
        </is>
      </c>
      <c r="B4" s="2" t="inlineStr">
        <is>
          <t>Comp ID</t>
        </is>
      </c>
      <c r="C4" s="2" t="inlineStr">
        <is>
          <t>Run Type</t>
        </is>
      </c>
      <c r="D4" s="2" t="inlineStr">
        <is>
          <t>Fitting Name</t>
        </is>
      </c>
      <c r="E4" s="2" t="inlineStr">
        <is>
          <t>Tag</t>
        </is>
      </c>
      <c r="F4" s="2" t="inlineStr">
        <is>
          <t>Bore In (in)</t>
        </is>
      </c>
      <c r="G4" s="2" t="inlineStr">
        <is>
          <t>Bore Out (in)</t>
        </is>
      </c>
      <c r="H4" s="2" t="inlineStr">
        <is>
          <t>Piping Spec</t>
        </is>
      </c>
      <c r="I4" s="2" t="inlineStr">
        <is>
          <t>Length (m)</t>
        </is>
      </c>
      <c r="J4" s="2" t="inlineStr">
        <is>
          <t>Elev Change (m)</t>
        </is>
      </c>
      <c r="K4" s="2" t="inlineStr">
        <is>
          <t>Direction</t>
        </is>
      </c>
      <c r="L4" s="2" t="inlineStr">
        <is>
          <t>Start P (kPa)</t>
        </is>
      </c>
      <c r="M4" s="2" t="inlineStr">
        <is>
          <t>Fixed K</t>
        </is>
      </c>
      <c r="N4" s="2" t="inlineStr">
        <is>
          <t>Fixed dP (kPa)</t>
        </is>
      </c>
      <c r="O4" s="2" t="inlineStr">
        <is>
          <t>Instr Type</t>
        </is>
      </c>
      <c r="P4" s="2" t="inlineStr">
        <is>
          <t>Instr Tag</t>
        </is>
      </c>
      <c r="Q4" s="2" t="inlineStr">
        <is>
          <t>Instr dP (kPa)</t>
        </is>
      </c>
      <c r="R4" s="2" t="inlineStr">
        <is>
          <t>Notes</t>
        </is>
      </c>
      <c r="S4" s="2" t="inlineStr">
        <is>
          <t>Stream</t>
        </is>
      </c>
      <c r="T4" s="2" t="inlineStr">
        <is>
          <t>HMB File</t>
        </is>
      </c>
      <c r="U4" s="2" t="inlineStr">
        <is>
          <t>Case</t>
        </is>
      </c>
      <c r="V4" s="2" t="inlineStr">
        <is>
          <t>Flow Frac</t>
        </is>
      </c>
      <c r="W4" s="2" t="inlineStr">
        <is>
          <t>Mass Vap CF</t>
        </is>
      </c>
      <c r="X4" s="2" t="inlineStr">
        <is>
          <t>Mass Liq CF</t>
        </is>
      </c>
    </row>
    <row r="5" ht="13" customHeight="1">
      <c r="A5" s="4" t="inlineStr">
        <is>
          <t xml:space="preserve">  ▶  LINE: ER-162</t>
        </is>
      </c>
    </row>
    <row r="6">
      <c r="A6" s="41" t="n">
        <v>1</v>
      </c>
      <c r="B6" s="42" t="inlineStr">
        <is>
          <t>ENT-01</t>
        </is>
      </c>
      <c r="C6" s="10" t="inlineStr">
        <is>
          <t>Main</t>
        </is>
      </c>
      <c r="D6" s="42" t="inlineStr">
        <is>
          <t>Pipeline Entrance - Sharp Edge</t>
        </is>
      </c>
      <c r="E6" s="42" t="inlineStr"/>
      <c r="F6" s="41" t="n">
        <v>8</v>
      </c>
      <c r="G6" s="41" t="n">
        <v>8</v>
      </c>
      <c r="H6" s="42" t="inlineStr">
        <is>
          <t>G1A-5</t>
        </is>
      </c>
      <c r="I6" s="41" t="n">
        <v>0</v>
      </c>
      <c r="J6" s="41" t="n">
        <v>0</v>
      </c>
      <c r="K6" s="42" t="inlineStr"/>
      <c r="L6" s="41" t="n">
        <v>689.4757</v>
      </c>
      <c r="M6" s="42" t="inlineStr"/>
      <c r="N6" s="42" t="inlineStr"/>
      <c r="O6" s="42" t="inlineStr"/>
      <c r="P6" s="42" t="inlineStr"/>
      <c r="Q6" s="42" t="inlineStr"/>
      <c r="R6" s="42" t="inlineStr">
        <is>
          <t>Entrance</t>
        </is>
      </c>
      <c r="S6" s="42" t="inlineStr">
        <is>
          <t>T801-OH</t>
        </is>
      </c>
      <c r="T6" s="42" t="inlineStr"/>
      <c r="U6" s="42" t="inlineStr"/>
      <c r="V6" s="42" t="inlineStr"/>
      <c r="W6" s="42" t="inlineStr"/>
      <c r="X6" s="42" t="inlineStr"/>
    </row>
    <row r="7">
      <c r="A7" s="19" t="n">
        <v>2</v>
      </c>
      <c r="B7" s="20" t="inlineStr">
        <is>
          <t>P-001</t>
        </is>
      </c>
      <c r="C7" s="10" t="inlineStr">
        <is>
          <t>Main</t>
        </is>
      </c>
      <c r="D7" s="20" t="inlineStr">
        <is>
          <t>Straight Pipeline</t>
        </is>
      </c>
      <c r="E7" s="20" t="inlineStr"/>
      <c r="F7" s="19" t="n">
        <v>8</v>
      </c>
      <c r="G7" s="19" t="n">
        <v>8</v>
      </c>
      <c r="H7" s="20" t="inlineStr">
        <is>
          <t>G1A-5</t>
        </is>
      </c>
      <c r="I7" s="19" t="n">
        <v>15.24</v>
      </c>
      <c r="J7" s="43" t="n">
        <v>-0.6096</v>
      </c>
      <c r="K7" s="44" t="inlineStr">
        <is>
          <t>DOWN</t>
        </is>
      </c>
      <c r="L7" s="20" t="inlineStr"/>
      <c r="M7" s="20" t="inlineStr"/>
      <c r="N7" s="20" t="inlineStr"/>
      <c r="O7" s="20" t="inlineStr"/>
      <c r="P7" s="20" t="inlineStr"/>
      <c r="Q7" s="20" t="inlineStr"/>
      <c r="R7" s="20" t="inlineStr">
        <is>
          <t>Drop leg</t>
        </is>
      </c>
      <c r="S7" s="20" t="inlineStr">
        <is>
          <t>T801-OH</t>
        </is>
      </c>
      <c r="T7" s="20" t="inlineStr"/>
      <c r="U7" s="20" t="inlineStr"/>
      <c r="V7" s="20" t="inlineStr"/>
      <c r="W7" s="20" t="inlineStr"/>
      <c r="X7" s="20" t="inlineStr"/>
    </row>
    <row r="8">
      <c r="A8" s="5" t="n">
        <v>3</v>
      </c>
      <c r="B8" s="6" t="inlineStr">
        <is>
          <t>EL-001</t>
        </is>
      </c>
      <c r="C8" s="10" t="inlineStr">
        <is>
          <t>Main</t>
        </is>
      </c>
      <c r="D8" s="6" t="inlineStr">
        <is>
          <t>Elbow 90 Long</t>
        </is>
      </c>
      <c r="E8" s="6" t="inlineStr"/>
      <c r="F8" s="5" t="n">
        <v>8</v>
      </c>
      <c r="G8" s="5" t="n">
        <v>8</v>
      </c>
      <c r="H8" s="6" t="inlineStr">
        <is>
          <t>G1A-5</t>
        </is>
      </c>
      <c r="I8" s="5" t="n">
        <v>0</v>
      </c>
      <c r="J8" s="5" t="n">
        <v>0</v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>
        <is>
          <t>T801-OH</t>
        </is>
      </c>
      <c r="T8" s="6" t="inlineStr"/>
      <c r="U8" s="6" t="inlineStr"/>
      <c r="V8" s="6" t="inlineStr"/>
      <c r="W8" s="6" t="inlineStr"/>
      <c r="X8" s="6" t="inlineStr"/>
    </row>
    <row r="9">
      <c r="A9" s="45" t="n">
        <v>4</v>
      </c>
      <c r="B9" s="46" t="inlineStr">
        <is>
          <t>TEE-01</t>
        </is>
      </c>
      <c r="C9" s="10" t="inlineStr">
        <is>
          <t>Main</t>
        </is>
      </c>
      <c r="D9" s="46" t="inlineStr">
        <is>
          <t>Tee Split Line Flow</t>
        </is>
      </c>
      <c r="E9" s="46" t="inlineStr"/>
      <c r="F9" s="45" t="n">
        <v>8</v>
      </c>
      <c r="G9" s="45" t="n">
        <v>8</v>
      </c>
      <c r="H9" s="46" t="inlineStr">
        <is>
          <t>G1A-5</t>
        </is>
      </c>
      <c r="I9" s="45" t="n">
        <v>0</v>
      </c>
      <c r="J9" s="45" t="n">
        <v>0</v>
      </c>
      <c r="K9" s="46" t="inlineStr"/>
      <c r="L9" s="46" t="inlineStr"/>
      <c r="M9" s="46" t="inlineStr"/>
      <c r="N9" s="46" t="inlineStr"/>
      <c r="O9" s="46" t="inlineStr"/>
      <c r="P9" s="46" t="inlineStr"/>
      <c r="Q9" s="46" t="inlineStr"/>
      <c r="R9" s="46" t="inlineStr">
        <is>
          <t>40% splits to branch</t>
        </is>
      </c>
      <c r="S9" s="46" t="inlineStr">
        <is>
          <t>T801-OH</t>
        </is>
      </c>
      <c r="T9" s="46" t="inlineStr"/>
      <c r="U9" s="46" t="inlineStr"/>
      <c r="V9" s="45" t="n">
        <v>-0.4</v>
      </c>
      <c r="W9" s="46" t="inlineStr"/>
      <c r="X9" s="46" t="inlineStr"/>
    </row>
    <row r="10">
      <c r="A10" s="47" t="n">
        <v>5</v>
      </c>
      <c r="B10" s="48" t="inlineStr">
        <is>
          <t>PSV-01</t>
        </is>
      </c>
      <c r="C10" s="10" t="inlineStr">
        <is>
          <t>Main</t>
        </is>
      </c>
      <c r="D10" s="48" t="inlineStr">
        <is>
          <t>Fix Pressure</t>
        </is>
      </c>
      <c r="E10" s="48" t="inlineStr"/>
      <c r="F10" s="47" t="n">
        <v>8</v>
      </c>
      <c r="G10" s="47" t="n">
        <v>8</v>
      </c>
      <c r="H10" s="48" t="inlineStr">
        <is>
          <t>G1A-5</t>
        </is>
      </c>
      <c r="I10" s="47" t="n">
        <v>0</v>
      </c>
      <c r="J10" s="47" t="n">
        <v>0</v>
      </c>
      <c r="K10" s="48" t="inlineStr"/>
      <c r="L10" s="48" t="inlineStr"/>
      <c r="M10" s="48" t="inlineStr"/>
      <c r="N10" s="47" t="n">
        <v>24.1317</v>
      </c>
      <c r="O10" s="48" t="inlineStr"/>
      <c r="P10" s="48" t="inlineStr"/>
      <c r="Q10" s="48" t="inlineStr"/>
      <c r="R10" s="48" t="inlineStr">
        <is>
          <t>PSV seat loss</t>
        </is>
      </c>
      <c r="S10" s="48" t="inlineStr">
        <is>
          <t>T801-OH</t>
        </is>
      </c>
      <c r="T10" s="48" t="inlineStr"/>
      <c r="U10" s="48" t="inlineStr"/>
      <c r="V10" s="48" t="inlineStr"/>
      <c r="W10" s="48" t="inlineStr"/>
      <c r="X10" s="48" t="inlineStr"/>
    </row>
    <row r="11" ht="13" customHeight="1">
      <c r="A11" s="8" t="inlineStr">
        <is>
          <t xml:space="preserve">  ▶  LINE: H-284</t>
        </is>
      </c>
    </row>
    <row r="12">
      <c r="A12" s="19" t="n">
        <v>1</v>
      </c>
      <c r="B12" s="20" t="inlineStr">
        <is>
          <t>P-002</t>
        </is>
      </c>
      <c r="C12" s="10" t="inlineStr">
        <is>
          <t>Main</t>
        </is>
      </c>
      <c r="D12" s="20" t="inlineStr">
        <is>
          <t>Straight Pipeline</t>
        </is>
      </c>
      <c r="E12" s="20" t="inlineStr"/>
      <c r="F12" s="19" t="n">
        <v>8</v>
      </c>
      <c r="G12" s="19" t="n">
        <v>8</v>
      </c>
      <c r="H12" s="20" t="inlineStr">
        <is>
          <t>G1A-5</t>
        </is>
      </c>
      <c r="I12" s="19" t="n">
        <v>9.144</v>
      </c>
      <c r="J12" s="19" t="n">
        <v>0</v>
      </c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>
        <is>
          <t>Header run</t>
        </is>
      </c>
      <c r="S12" s="20" t="inlineStr">
        <is>
          <t>T801-OH</t>
        </is>
      </c>
      <c r="T12" s="20" t="inlineStr"/>
      <c r="U12" s="20" t="inlineStr"/>
      <c r="V12" s="20" t="inlineStr"/>
      <c r="W12" s="20" t="inlineStr"/>
      <c r="X12" s="20" t="inlineStr"/>
    </row>
    <row r="13">
      <c r="A13" s="5" t="n">
        <v>2</v>
      </c>
      <c r="B13" s="6" t="inlineStr">
        <is>
          <t>EL-002</t>
        </is>
      </c>
      <c r="C13" s="10" t="inlineStr">
        <is>
          <t>Main</t>
        </is>
      </c>
      <c r="D13" s="6" t="inlineStr">
        <is>
          <t>Elbow 90 Long</t>
        </is>
      </c>
      <c r="E13" s="6" t="inlineStr"/>
      <c r="F13" s="5" t="n">
        <v>8</v>
      </c>
      <c r="G13" s="5" t="n">
        <v>8</v>
      </c>
      <c r="H13" s="6" t="inlineStr">
        <is>
          <t>G1A-5</t>
        </is>
      </c>
      <c r="I13" s="5" t="n">
        <v>0</v>
      </c>
      <c r="J13" s="5" t="n">
        <v>0</v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>
        <is>
          <t>T801-OH</t>
        </is>
      </c>
      <c r="T13" s="6" t="inlineStr"/>
      <c r="U13" s="6" t="inlineStr"/>
      <c r="V13" s="6" t="inlineStr"/>
      <c r="W13" s="6" t="inlineStr"/>
      <c r="X13" s="6" t="inlineStr"/>
    </row>
    <row r="14">
      <c r="A14" s="49" t="n">
        <v>3</v>
      </c>
      <c r="B14" s="50" t="inlineStr">
        <is>
          <t>VLV-01</t>
        </is>
      </c>
      <c r="C14" s="10" t="inlineStr">
        <is>
          <t>Main</t>
        </is>
      </c>
      <c r="D14" s="50" t="inlineStr">
        <is>
          <t>Fix K</t>
        </is>
      </c>
      <c r="E14" s="50" t="inlineStr"/>
      <c r="F14" s="49" t="n">
        <v>8</v>
      </c>
      <c r="G14" s="49" t="n">
        <v>8</v>
      </c>
      <c r="H14" s="50" t="inlineStr">
        <is>
          <t>G1A-5</t>
        </is>
      </c>
      <c r="I14" s="49" t="n">
        <v>0</v>
      </c>
      <c r="J14" s="49" t="n">
        <v>0</v>
      </c>
      <c r="K14" s="50" t="inlineStr"/>
      <c r="L14" s="50" t="inlineStr"/>
      <c r="M14" s="49" t="n">
        <v>7.2</v>
      </c>
      <c r="N14" s="50" t="inlineStr"/>
      <c r="O14" s="50" t="inlineStr"/>
      <c r="P14" s="50" t="inlineStr"/>
      <c r="Q14" s="50" t="inlineStr"/>
      <c r="R14" s="50" t="inlineStr">
        <is>
          <t>CV K=7.2</t>
        </is>
      </c>
      <c r="S14" s="50" t="inlineStr">
        <is>
          <t>T801-OH</t>
        </is>
      </c>
      <c r="T14" s="50" t="inlineStr"/>
      <c r="U14" s="50" t="inlineStr"/>
      <c r="V14" s="50" t="inlineStr"/>
      <c r="W14" s="50" t="inlineStr"/>
      <c r="X14" s="50" t="inlineStr"/>
    </row>
  </sheetData>
  <autoFilter ref="A4:X4"/>
  <mergeCells count="5">
    <mergeCell ref="A3:X3"/>
    <mergeCell ref="A2:X2"/>
    <mergeCell ref="A11:X11"/>
    <mergeCell ref="A5:X5"/>
    <mergeCell ref="A1:X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0A0A0"/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1" t="inlineStr">
        <is>
          <t>HyCalign Hydraulics — NO-ISO Flash Mode — Line Circuit C1  (ER-162, H-284)</t>
        </is>
      </c>
    </row>
    <row r="2">
      <c r="A2" s="52" t="inlineStr"/>
    </row>
    <row r="3">
      <c r="A3" s="52" t="inlineStr">
        <is>
          <t>Line:         Circuit C1  (ER-162, H-284)</t>
        </is>
      </c>
    </row>
    <row r="4">
      <c r="A4" s="52" t="inlineStr">
        <is>
          <t>Stream:       T801-OH   (HMB: HMB.xlsx)</t>
        </is>
      </c>
    </row>
    <row r="5">
      <c r="A5" s="52" t="inlineStr">
        <is>
          <t>Input file:   pipeline_input_SI_test.xlsx</t>
        </is>
      </c>
    </row>
    <row r="6">
      <c r="A6" s="52" t="inlineStr">
        <is>
          <t>Phase (HMB):  Vapor  -&gt;  calc path 'VAPOR'</t>
        </is>
      </c>
    </row>
    <row r="7">
      <c r="A7" s="52" t="inlineStr">
        <is>
          <t>Flash mode:   isothermal</t>
        </is>
      </c>
    </row>
    <row r="8">
      <c r="A8" s="52" t="inlineStr">
        <is>
          <t>Units:        SI  (input &amp; results; engine internals FPS)</t>
        </is>
      </c>
    </row>
    <row r="9">
      <c r="A9" s="52" t="inlineStr">
        <is>
          <t>Generated:    11-Jun-2026 17:58</t>
        </is>
      </c>
    </row>
    <row r="10">
      <c r="A10" s="52" t="inlineStr"/>
    </row>
    <row r="11">
      <c r="A11" s="53" t="inlineStr">
        <is>
          <t>PIPELINE INPUT</t>
        </is>
      </c>
    </row>
    <row r="12">
      <c r="A12" s="52" t="inlineStr">
        <is>
          <t xml:space="preserve">  Components entered manually in pipeline_input_noiso.xlsx.</t>
        </is>
      </c>
    </row>
    <row r="13">
      <c r="A13" s="52" t="inlineStr">
        <is>
          <t xml:space="preserve">  Internal diameter resolved from Piping Spec + Bore via pms_classes.py / asme_data.py.</t>
        </is>
      </c>
    </row>
    <row r="14">
      <c r="A14" s="52" t="inlineStr">
        <is>
          <t xml:space="preserve">  No ISOGEN .pcf required.</t>
        </is>
      </c>
    </row>
    <row r="15">
      <c r="A15" s="52" t="inlineStr"/>
    </row>
    <row r="16">
      <c r="A16" s="53" t="inlineStr">
        <is>
          <t>SPECIAL FITTINGS</t>
        </is>
      </c>
    </row>
    <row r="17">
      <c r="A17" s="52" t="inlineStr">
        <is>
          <t xml:space="preserve">  Fix K        — user-supplied K coefficient; Darcy-Weisbach friction + elevation still applied.</t>
        </is>
      </c>
    </row>
    <row r="18">
      <c r="A18" s="52" t="inlineStr">
        <is>
          <t xml:space="preserve">  Fix Pressure — user-supplied dP (kPa) subtracted directly; all hydraulics skipped.</t>
        </is>
      </c>
    </row>
    <row r="19">
      <c r="A19" s="52" t="inlineStr">
        <is>
          <t xml:space="preserve">  Orifice / FO — user-supplied Instr dP (kPa) subtracted directly; no velocity calculation.</t>
        </is>
      </c>
    </row>
    <row r="20">
      <c r="A20" s="52" t="inlineStr"/>
    </row>
    <row r="21">
      <c r="A21" s="53" t="inlineStr">
        <is>
          <t>FLASH VLE</t>
        </is>
      </c>
    </row>
    <row r="22">
      <c r="A22" s="52" t="inlineStr">
        <is>
          <t xml:space="preserve">  Method: isothermal flash at each station's local pressure.</t>
        </is>
      </c>
    </row>
    <row r="23">
      <c r="A23" s="52" t="inlineStr">
        <is>
          <t xml:space="preserve">  Reference K-values anchored to HMB molar vapor fraction at P_ref.</t>
        </is>
      </c>
    </row>
    <row r="24">
      <c r="A24" s="52" t="inlineStr">
        <is>
          <t xml:space="preserve">  Vapor mass flow and quality evolve as pressure falls (genuine flashing).</t>
        </is>
      </c>
    </row>
    <row r="25">
      <c r="A25" s="52" t="inlineStr">
        <is>
          <t xml:space="preserve">  Falls back to frozen HMB split when no composition is available.</t>
        </is>
      </c>
    </row>
    <row r="26">
      <c r="A26" s="52" t="inlineStr"/>
    </row>
    <row r="27">
      <c r="A27" s="53" t="inlineStr">
        <is>
          <t>FORMULAS</t>
        </is>
      </c>
    </row>
    <row r="28">
      <c r="A28" s="52" t="inlineStr">
        <is>
          <t xml:space="preserve">  Friction:  Darcy f·(L/D)·½ρv²   (64/Re laminar; Swamee-Jain turbulent)</t>
        </is>
      </c>
    </row>
    <row r="29">
      <c r="A29" s="52" t="inlineStr">
        <is>
          <t xml:space="preserve">  Fittings:  K·½ρv²   (K from Crane TP-410 table; Fix K uses user value)</t>
        </is>
      </c>
    </row>
    <row r="30">
      <c r="A30" s="52" t="inlineStr">
        <is>
          <t xml:space="preserve">  Elevation: ρ·g·Δz</t>
        </is>
      </c>
    </row>
    <row r="31">
      <c r="A31" s="52" t="inlineStr">
        <is>
          <t xml:space="preserve">  Roughness: 0.0018 in commercial steel.</t>
        </is>
      </c>
    </row>
    <row r="32">
      <c r="A32" s="52" t="inlineStr"/>
    </row>
    <row r="33">
      <c r="A33" s="52" t="inlineStr">
        <is>
          <t>VERIFY: schedule/wall from asme_data.py — confirm before design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2026-06-11T17:58:15Z</dcterms:created>
  <dcterms:modified xmlns:dcterms="http://purl.org/dc/terms/" xmlns:xsi="http://www.w3.org/2001/XMLSchema-instance" xsi:type="dcterms:W3CDTF">2026-06-11T17:58:15Z</dcterms:modified>
</cp:coreProperties>
</file>